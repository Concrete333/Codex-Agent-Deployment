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 Data" sheetId="1" state="visible" r:id="rId3"/>
    <sheet name="OpenAI vs Claude" sheetId="2" state="visible" r:id="rId4"/>
    <sheet name="Efficiency" sheetId="3" state="visible" r:id="rId5"/>
    <sheet name="Benchmarks" sheetId="4" state="visible" r:id="rId6"/>
    <sheet name="Cost Breakdown" sheetId="5" state="visible" r:id="rId7"/>
    <sheet name="Method &amp; Sources" sheetId="6" state="visible" r:id="rId8"/>
  </sheets>
  <definedNames>
    <definedName function="false" hidden="true" localSheetId="0" name="_xlnm._FilterDatabase" vbProcedure="false">'Model Data'!$A$4:$S$26</definedName>
    <definedName function="false" hidden="true" localSheetId="1" name="_xlnm._FilterDatabase" vbProcedure="false">'OpenAI vs Claude'!$A$4:$O$42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<sst xmlns="http://schemas.openxmlformats.org/spreadsheetml/2006/main" count="355" uniqueCount="156">
  <si>
    <t xml:space="preserve">OpenAI / ChatGPT model comparison — Artificial Analysis Intelligence Index v4.3</t>
  </si>
  <si>
    <t xml:space="preserve">Source: artificialanalysis.ai/models, chart data read from the page on 2026-09-08. Derived columns (K onward on the Efficiency tab) are computed by formula from these inputs.</t>
  </si>
  <si>
    <t xml:space="preserve">Model</t>
  </si>
  <si>
    <t xml:space="preserve">Family</t>
  </si>
  <si>
    <t xml:space="preserve">Effort</t>
  </si>
  <si>
    <t xml:space="preserve">Intelligence Index</t>
  </si>
  <si>
    <t xml:space="preserve">Cost / Task ($)</t>
  </si>
  <si>
    <t xml:space="preserve">Output Tokens / Task</t>
  </si>
  <si>
    <t xml:space="preserve">Time / Task (min)</t>
  </si>
  <si>
    <t xml:space="preserve">Input $/M</t>
  </si>
  <si>
    <t xml:space="preserve">Output $/M</t>
  </si>
  <si>
    <t xml:space="preserve">Cache Hit $/M</t>
  </si>
  <si>
    <t xml:space="preserve">Blended $/M (7:2:1)</t>
  </si>
  <si>
    <t xml:space="preserve">Output Speed (tok/s)</t>
  </si>
  <si>
    <t xml:space="preserve">Latency TTFT (s)</t>
  </si>
  <si>
    <t xml:space="preserve">Context Window</t>
  </si>
  <si>
    <t xml:space="preserve">Omniscience Index</t>
  </si>
  <si>
    <t xml:space="preserve">Briefcase Elo</t>
  </si>
  <si>
    <t xml:space="preserve">Total Cost, Full Index Run ($)</t>
  </si>
  <si>
    <t xml:space="preserve">Total Tokens, Full Index Run</t>
  </si>
  <si>
    <t xml:space="preserve">Reasoning Share of Output Tokens</t>
  </si>
  <si>
    <t xml:space="preserve">GPT-6 Astra (max)</t>
  </si>
  <si>
    <t xml:space="preserve">GPT-6 Astra</t>
  </si>
  <si>
    <t xml:space="preserve">max</t>
  </si>
  <si>
    <t xml:space="preserve">GPT-6 Astra (xhigh)</t>
  </si>
  <si>
    <t xml:space="preserve">xhigh</t>
  </si>
  <si>
    <t xml:space="preserve">GPT-6 Astra (high)</t>
  </si>
  <si>
    <t xml:space="preserve">high</t>
  </si>
  <si>
    <t xml:space="preserve">GPT-6 Astra (medium)</t>
  </si>
  <si>
    <t xml:space="preserve">medium</t>
  </si>
  <si>
    <t xml:space="preserve">GPT-5.6 Sol (max)</t>
  </si>
  <si>
    <t xml:space="preserve">GPT-5.6 Sol</t>
  </si>
  <si>
    <t xml:space="preserve">GPT-6 Astra (low)</t>
  </si>
  <si>
    <t xml:space="preserve">low</t>
  </si>
  <si>
    <t xml:space="preserve">GPT-6 Astra (Non-reasoning)</t>
  </si>
  <si>
    <t xml:space="preserve">none</t>
  </si>
  <si>
    <t xml:space="preserve">GPT-5.6 Sol (xhigh)</t>
  </si>
  <si>
    <t xml:space="preserve">GPT-5.6 Sol (high)</t>
  </si>
  <si>
    <t xml:space="preserve">GPT-5.6 Terra (max)</t>
  </si>
  <si>
    <t xml:space="preserve">GPT-5.6 Terra</t>
  </si>
  <si>
    <t xml:space="preserve">GPT-5.6 Sol (medium)</t>
  </si>
  <si>
    <t xml:space="preserve">GPT-5.6 Terra (xhigh)</t>
  </si>
  <si>
    <t xml:space="preserve">GPT-5.6 Luna (max)</t>
  </si>
  <si>
    <t xml:space="preserve">GPT-5.6 Luna</t>
  </si>
  <si>
    <t xml:space="preserve">GPT-5.6 Luna (xhigh)</t>
  </si>
  <si>
    <t xml:space="preserve">GPT-5.6 Terra (high)</t>
  </si>
  <si>
    <t xml:space="preserve">GPT-5.6 Sol (low)</t>
  </si>
  <si>
    <t xml:space="preserve">GPT-5.6 Luna (high)</t>
  </si>
  <si>
    <t xml:space="preserve">GPT-5.6 Terra (medium)</t>
  </si>
  <si>
    <t xml:space="preserve">GPT-5.6 Terra (low)</t>
  </si>
  <si>
    <t xml:space="preserve">GPT-5.6 Luna (medium)</t>
  </si>
  <si>
    <t xml:space="preserve">GPT-5.6 Terra (Non-reasoning)</t>
  </si>
  <si>
    <t xml:space="preserve">GPT-5.6 Luna (low)</t>
  </si>
  <si>
    <t xml:space="preserve">Blank cells mean Artificial Analysis publishes no figure for that model; they are not zeros.</t>
  </si>
  <si>
    <t xml:space="preserve">"Cost / Task" is Artificial Analysis's weighted average USD per Intelligence Index task, including input, cache read/write, reasoning and answer tokens.</t>
  </si>
  <si>
    <t xml:space="preserve">All OpenAI and Claude configurations, ranked by Intelligence Index</t>
  </si>
  <si>
    <t xml:space="preserve">Same source and date for both. Blank cost cells are unpublished figures, not zeros.</t>
  </si>
  <si>
    <t xml:space="preserve">Rank</t>
  </si>
  <si>
    <t xml:space="preserve">Vendor</t>
  </si>
  <si>
    <t xml:space="preserve">Index Points per $</t>
  </si>
  <si>
    <t xml:space="preserve">Tokens per Index Point</t>
  </si>
  <si>
    <t xml:space="preserve">Non-Hallucination Rate</t>
  </si>
  <si>
    <t xml:space="preserve">Terminal-Bench (coding)</t>
  </si>
  <si>
    <t xml:space="preserve">AA-Briefcase Elo</t>
  </si>
  <si>
    <t xml:space="preserve">Long Context (AA-LCR)</t>
  </si>
  <si>
    <t xml:space="preserve">Claude Fable 5.1 (max with fallback)</t>
  </si>
  <si>
    <t xml:space="preserve">Anthropic</t>
  </si>
  <si>
    <t xml:space="preserve">Claude Fable 5.1 (xhigh with fallback)</t>
  </si>
  <si>
    <t xml:space="preserve">OpenAI</t>
  </si>
  <si>
    <t xml:space="preserve">Claude Fable 5.1 (high with fallback)</t>
  </si>
  <si>
    <t xml:space="preserve">Claude Opus 5 (max)</t>
  </si>
  <si>
    <t xml:space="preserve">Claude Fable 5 (with fallback)</t>
  </si>
  <si>
    <t xml:space="preserve">Claude Opus 5 (xhigh)</t>
  </si>
  <si>
    <t xml:space="preserve">Claude Fable 5.1 (medium with fallback)</t>
  </si>
  <si>
    <t xml:space="preserve">Claude Opus 5 (high)</t>
  </si>
  <si>
    <t xml:space="preserve">Claude Fable 5.1 (low with fallback)</t>
  </si>
  <si>
    <t xml:space="preserve">Claude Opus 5 (medium)</t>
  </si>
  <si>
    <t xml:space="preserve">Claude Opus 4.8 (max)</t>
  </si>
  <si>
    <t xml:space="preserve">Claude Opus 5 (low)</t>
  </si>
  <si>
    <t xml:space="preserve">Claude Sonnet 5 (max)</t>
  </si>
  <si>
    <t xml:space="preserve">Claude Sonnet 5 (Non-reasoning)</t>
  </si>
  <si>
    <t xml:space="preserve">Claude Sonnet 5 (medium)</t>
  </si>
  <si>
    <t xml:space="preserve">Claude Sonnet 5 (low)</t>
  </si>
  <si>
    <t xml:space="preserve">Green rows are OpenAI, peach rows are Claude.</t>
  </si>
  <si>
    <t xml:space="preserve">Index points per dollar is the headline efficiency number: how much measured capability each dollar buys.</t>
  </si>
  <si>
    <t xml:space="preserve">Prices are API list prices. Neither a ChatGPT nor a Claude subscription bills per token, so treat cost as a proxy for how fast you burn your allowance.</t>
  </si>
  <si>
    <t xml:space="preserve">Cost- and token-efficiency, derived by formula from the Model Data tab</t>
  </si>
  <si>
    <t xml:space="preserve">Reference points</t>
  </si>
  <si>
    <t xml:space="preserve">Every number here is a live formula. Change an input on Model Data and these update.</t>
  </si>
  <si>
    <t xml:space="preserve">Best Intelligence Index</t>
  </si>
  <si>
    <t xml:space="preserve">Cheapest cost / task ($)</t>
  </si>
  <si>
    <t xml:space="preserve">Cost per Index Point ($)</t>
  </si>
  <si>
    <t xml:space="preserve">Effective $ / 1k Output Tokens</t>
  </si>
  <si>
    <t xml:space="preserve">Cost vs. Cheapest (x)</t>
  </si>
  <si>
    <t xml:space="preserve">Index Points Lost vs. Best</t>
  </si>
  <si>
    <t xml:space="preserve">Cost Premium per Point Gained ($)</t>
  </si>
  <si>
    <t xml:space="preserve">Index of that cheapest option</t>
  </si>
  <si>
    <t xml:space="preserve">How to read these columns:</t>
  </si>
  <si>
    <t xml:space="preserve">Index Points per $ — raw efficiency. Higher means more measured capability per dollar spent.</t>
  </si>
  <si>
    <t xml:space="preserve">Cost per Index Point — the same thing inverted; easier to compare small differences.</t>
  </si>
  <si>
    <t xml:space="preserve">Tokens per Index Point — how many output tokens the model burns to earn one point of score.</t>
  </si>
  <si>
    <t xml:space="preserve">Cost Premium per Point Gained — marginal cost of the extra accuracy over the cheapest option here.</t>
  </si>
  <si>
    <t xml:space="preserve">Cost vs. Cheapest — how many times more expensive than the cheapest configuration in this set.</t>
  </si>
  <si>
    <t xml:space="preserve">Per-evaluation scores (the components behind the Intelligence Index)</t>
  </si>
  <si>
    <t xml:space="preserve">Blank means Artificial Analysis has not published a score for that model on that evaluation. Scores are fractions shown as percentages, except AA-Briefcase and GDPval (Elo-derived) and Omniscience Index.</t>
  </si>
  <si>
    <t xml:space="preserve">AA-Briefcase</t>
  </si>
  <si>
    <t xml:space="preserve">GDPval-AA v2</t>
  </si>
  <si>
    <t xml:space="preserve">AutomationBench-AA</t>
  </si>
  <si>
    <t xml:space="preserve">Terminal-Bench v4.0</t>
  </si>
  <si>
    <t xml:space="preserve">SciCode</t>
  </si>
  <si>
    <t xml:space="preserve">Humanity's Last Exam</t>
  </si>
  <si>
    <t xml:space="preserve">GDP.pdf</t>
  </si>
  <si>
    <t xml:space="preserve">CritPt</t>
  </si>
  <si>
    <t xml:space="preserve">AA-Omniscience Accuracy</t>
  </si>
  <si>
    <t xml:space="preserve">AA-Omniscience Non-Hallucination Rate</t>
  </si>
  <si>
    <t xml:space="preserve">AA-LCR v1.1</t>
  </si>
  <si>
    <t xml:space="preserve">Harvey LAB-AA</t>
  </si>
  <si>
    <t xml:space="preserve">EnterpriseOps-Gym-AA</t>
  </si>
  <si>
    <t xml:space="preserve">AA-AnalystAgent</t>
  </si>
  <si>
    <t xml:space="preserve">IFBench</t>
  </si>
  <si>
    <t xml:space="preserve">𝜏³-Banking</t>
  </si>
  <si>
    <t xml:space="preserve">MMMU-Pro</t>
  </si>
  <si>
    <t xml:space="preserve">Where the money and the tokens go, per Intelligence Index task</t>
  </si>
  <si>
    <t xml:space="preserve">Cost segments sum to Cost / Task. Token segments are output tokens only (answer + reasoning).</t>
  </si>
  <si>
    <t xml:space="preserve">Answer ($)</t>
  </si>
  <si>
    <t xml:space="preserve">Reasoning ($)</t>
  </si>
  <si>
    <t xml:space="preserve">Cache Write ($)</t>
  </si>
  <si>
    <t xml:space="preserve">Cache Hit ($)</t>
  </si>
  <si>
    <t xml:space="preserve">Input ($)</t>
  </si>
  <si>
    <t xml:space="preserve">Answer Tokens</t>
  </si>
  <si>
    <t xml:space="preserve">Reasoning Tokens</t>
  </si>
  <si>
    <t xml:space="preserve">Reasoning Share</t>
  </si>
  <si>
    <t xml:space="preserve">Method &amp; sources</t>
  </si>
  <si>
    <t xml:space="preserve">Data source</t>
  </si>
  <si>
    <t xml:space="preserve">Artificial Analysis model comparison page, filtered to the 22 OpenAI / ChatGPT model / reasoning-effort configurations.</t>
  </si>
  <si>
    <t xml:space="preserve">https://artificialanalysis.ai/models</t>
  </si>
  <si>
    <t xml:space="preserve">Captured: 8 September 2026. Intelligence Index version: v4.3.</t>
  </si>
  <si>
    <t xml:space="preserve">How the numbers were obtained</t>
  </si>
  <si>
    <t xml:space="preserve">The site gates CSV download behind a paid plan, so the figures here were read from the underlying values</t>
  </si>
  <si>
    <t xml:space="preserve">of the public charts themselves, not retyped from pixels. Every value was cross-checked against the label</t>
  </si>
  <si>
    <t xml:space="preserve">the chart prints for that bar; Intelligence Index and Cost per Task matched on all 16 models with no exceptions.</t>
  </si>
  <si>
    <t xml:space="preserve">What the key metrics mean (Artificial Analysis definitions)</t>
  </si>
  <si>
    <t xml:space="preserve">Intelligence Index v4.3 — composite of 10 evaluations: AA-Briefcase, GDPval-AA v2, AutomationBench-AA,</t>
  </si>
  <si>
    <t xml:space="preserve">Terminal-Bench v4.0, SciCode, Humanity's Last Exam, GDP.pdf, CritPt, AA-Omniscience, AA-LCR v1.1.</t>
  </si>
  <si>
    <t xml:space="preserve">Cost per Task — weighted average USD per Intelligence Index task, priced from input, cache hit, cache write,</t>
  </si>
  <si>
    <t xml:space="preserve">reasoning and answer tokens, divided by task count and weighted by each benchmark's index weight.</t>
  </si>
  <si>
    <t xml:space="preserve">Output Tokens per Task — weighted average output tokens per Intelligence Index task, excluding repeats.</t>
  </si>
  <si>
    <t xml:space="preserve">AA-Omniscience Index — rewards correct answers, penalises hallucinations, no penalty for refusing. Range -100 to 100.</t>
  </si>
  <si>
    <t xml:space="preserve">AA-Briefcase Elo — combined agentic knowledge-work metric (rubric pass rate + analytical quality + presentation).</t>
  </si>
  <si>
    <t xml:space="preserve">Caveats worth carrying into any conclusions</t>
  </si>
  <si>
    <t xml:space="preserve">1. These are API list prices. A Claude subscription is not billed per token, so cost here is a proxy for</t>
  </si>
  <si>
    <t xml:space="preserve">   consumption of your usage allowance, not a bill you will receive.</t>
  </si>
  <si>
    <t xml:space="preserve">2. Effort levels (low / medium / high / xhigh / max) are the reasoning-effort settings Artificial Analysis tested.</t>
  </si>
  <si>
    <t xml:space="preserve">3. Blank cells are unpublished figures, not zeros.</t>
  </si>
  <si>
    <t xml:space="preserve">4. Several evaluations cover only a subset of models. Treat sparse columns as indicative only.</t>
  </si>
  <si>
    <t xml:space="preserve">5. Index scores carry measurement noise; differences under roughly one point should not drive a decision.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</si>
</sst>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"/>
    <numFmt numFmtId="166" formatCode="\$#,##0.00"/>
    <numFmt numFmtId="167" formatCode="#,##0"/>
    <numFmt numFmtId="168" formatCode="0.00"/>
    <numFmt numFmtId="169" formatCode="#,##0.0"/>
    <numFmt numFmtId="170" formatCode="\$#,##0"/>
    <numFmt numFmtId="171" formatCode="0.0%"/>
    <numFmt numFmtId="172" formatCode="\$#,##0.000"/>
    <numFmt numFmtId="173" formatCode="0.0\x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BEDE6"/>
        <bgColor rgb="FFE8F1E4"/>
      </patternFill>
    </fill>
    <fill>
      <patternFill patternType="solid">
        <fgColor rgb="FFE8F1E4"/>
        <bgColor rgb="FFFBEDE6"/>
      </patternFill>
    </fill>
    <fill>
      <patternFill patternType="solid">
        <fgColor rgb="FFD9E2F3"/>
        <bgColor rgb="FFE8F1E4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1E4"/>
          <bgColor rgb="FF000000"/>
        </patternFill>
      </fill>
    </dxf>
    <dxf>
      <fill>
        <patternFill patternType="solid">
          <fgColor rgb="FFFBED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EDE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F1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8" min="17" style="0" width="16"/>
    <col collapsed="false" customWidth="true" hidden="false" outlineLevel="0" max="19" min="19" style="0" width="1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customFormat="false" ht="15" hidden="false" customHeight="false" outlineLevel="0" collapsed="false">
      <c r="A5" s="4" t="s">
        <v>21</v>
      </c>
      <c r="B5" s="4" t="s">
        <v>22</v>
      </c>
      <c r="C5" s="4" t="s">
        <v>23</v>
      </c>
      <c r="D5" s="5" t="n">
        <v>52.814069395513</v>
      </c>
      <c r="E5" s="6" t="n">
        <v>3.26</v>
      </c>
      <c r="F5" s="7" t="n">
        <v>27205.5</v>
      </c>
      <c r="G5" s="8" t="n">
        <v>7.78751282050516</v>
      </c>
      <c r="H5" s="6" t="n">
        <v>10</v>
      </c>
      <c r="I5" s="6" t="n">
        <v>50</v>
      </c>
      <c r="J5" s="6" t="n">
        <v>1</v>
      </c>
      <c r="K5" s="6" t="n">
        <v>7.7</v>
      </c>
      <c r="L5" s="7" t="n">
        <v>59.2088490902298</v>
      </c>
      <c r="M5" s="9" t="n">
        <v>322.5</v>
      </c>
      <c r="N5" s="7" t="n">
        <v>1000000</v>
      </c>
      <c r="O5" s="5" t="n">
        <v>43.4</v>
      </c>
      <c r="P5" s="7" t="n">
        <v>1562.01</v>
      </c>
      <c r="Q5" s="10" t="n">
        <v>5324</v>
      </c>
      <c r="R5" s="7" t="n">
        <v>60007725</v>
      </c>
      <c r="S5" s="11" t="n">
        <v>0.613524399283398</v>
      </c>
    </row>
    <row r="6" customFormat="false" ht="15" hidden="false" customHeight="false" outlineLevel="0" collapsed="false">
      <c r="A6" s="4" t="s">
        <v>24</v>
      </c>
      <c r="B6" s="4" t="s">
        <v>22</v>
      </c>
      <c r="C6" s="4" t="s">
        <v>25</v>
      </c>
      <c r="D6" s="5" t="n">
        <v>52.5059027108782</v>
      </c>
      <c r="E6" s="6" t="n">
        <v>2.31</v>
      </c>
      <c r="F6" s="7" t="n">
        <v>16901.2</v>
      </c>
      <c r="G6" s="8" t="n">
        <v>5.01064647560129</v>
      </c>
      <c r="H6" s="6" t="n">
        <v>10</v>
      </c>
      <c r="I6" s="6" t="n">
        <v>50</v>
      </c>
      <c r="J6" s="6" t="n">
        <v>1</v>
      </c>
      <c r="K6" s="6" t="n">
        <v>7.7</v>
      </c>
      <c r="L6" s="7" t="n">
        <v>57.2204369255921</v>
      </c>
      <c r="M6" s="9" t="n">
        <v>168.7</v>
      </c>
      <c r="N6" s="7" t="n">
        <v>1000000</v>
      </c>
      <c r="O6" s="5" t="n">
        <v>43.4166666666667</v>
      </c>
      <c r="P6" s="7" t="n">
        <v>1533.73</v>
      </c>
      <c r="Q6" s="10" t="n">
        <v>3803</v>
      </c>
      <c r="R6" s="7" t="n">
        <v>37901142</v>
      </c>
      <c r="S6" s="11" t="n">
        <v>0.507803412242842</v>
      </c>
    </row>
    <row r="7" customFormat="false" ht="15" hidden="false" customHeight="false" outlineLevel="0" collapsed="false">
      <c r="A7" s="4" t="s">
        <v>26</v>
      </c>
      <c r="B7" s="4" t="s">
        <v>22</v>
      </c>
      <c r="C7" s="4" t="s">
        <v>27</v>
      </c>
      <c r="D7" s="5" t="n">
        <v>51.0480721636152</v>
      </c>
      <c r="E7" s="6" t="n">
        <v>1.72</v>
      </c>
      <c r="F7" s="7" t="n">
        <v>11794.9</v>
      </c>
      <c r="G7" s="8" t="n">
        <v>3.55654962573368</v>
      </c>
      <c r="H7" s="6" t="n">
        <v>10</v>
      </c>
      <c r="I7" s="6" t="n">
        <v>50</v>
      </c>
      <c r="J7" s="6" t="n">
        <v>1</v>
      </c>
      <c r="K7" s="6" t="n">
        <v>7.7</v>
      </c>
      <c r="L7" s="7" t="n">
        <v>55.2459684955021</v>
      </c>
      <c r="M7" s="9" t="n">
        <v>45.6</v>
      </c>
      <c r="N7" s="7" t="n">
        <v>1000000</v>
      </c>
      <c r="O7" s="5" t="n">
        <v>43.7333333333333</v>
      </c>
      <c r="P7" s="7" t="n">
        <v>1493.87</v>
      </c>
      <c r="Q7" s="10" t="n">
        <v>2917</v>
      </c>
      <c r="R7" s="7" t="n">
        <v>26187637</v>
      </c>
      <c r="S7" s="11" t="n">
        <v>0.399126435147556</v>
      </c>
    </row>
    <row r="8" customFormat="false" ht="15" hidden="false" customHeight="false" outlineLevel="0" collapsed="false">
      <c r="A8" s="4" t="s">
        <v>28</v>
      </c>
      <c r="B8" s="4" t="s">
        <v>22</v>
      </c>
      <c r="C8" s="4" t="s">
        <v>29</v>
      </c>
      <c r="D8" s="5" t="n">
        <v>49.6685363034369</v>
      </c>
      <c r="E8" s="6" t="n">
        <v>1.54</v>
      </c>
      <c r="F8" s="7" t="n">
        <v>9589.6</v>
      </c>
      <c r="G8" s="8" t="n">
        <v>2.95903422814591</v>
      </c>
      <c r="H8" s="6" t="n">
        <v>10</v>
      </c>
      <c r="I8" s="6" t="n">
        <v>50</v>
      </c>
      <c r="J8" s="6" t="n">
        <v>1</v>
      </c>
      <c r="K8" s="6" t="n">
        <v>7.7</v>
      </c>
      <c r="L8" s="7" t="n">
        <v>53.3957947039226</v>
      </c>
      <c r="M8" s="9" t="n">
        <v>5.4</v>
      </c>
      <c r="N8" s="7" t="n">
        <v>1000000</v>
      </c>
      <c r="O8" s="5" t="n">
        <v>42.2166666666667</v>
      </c>
      <c r="P8" s="7" t="n">
        <v>1450.6</v>
      </c>
      <c r="Q8" s="10" t="n">
        <v>2434</v>
      </c>
      <c r="R8" s="7" t="n">
        <v>18913587</v>
      </c>
      <c r="S8" s="11" t="n">
        <v>0.356813711903634</v>
      </c>
    </row>
    <row r="9" customFormat="false" ht="15" hidden="false" customHeight="false" outlineLevel="0" collapsed="false">
      <c r="A9" s="4" t="s">
        <v>30</v>
      </c>
      <c r="B9" s="4" t="s">
        <v>31</v>
      </c>
      <c r="C9" s="4" t="s">
        <v>23</v>
      </c>
      <c r="D9" s="5" t="n">
        <v>47.0613568915036</v>
      </c>
      <c r="E9" s="6" t="n">
        <v>1.99</v>
      </c>
      <c r="F9" s="7" t="n">
        <v>29309.4</v>
      </c>
      <c r="G9" s="8" t="n">
        <v>6.81874671650403</v>
      </c>
      <c r="H9" s="6" t="n">
        <v>4</v>
      </c>
      <c r="I9" s="6" t="n">
        <v>20</v>
      </c>
      <c r="J9" s="6" t="n">
        <v>0.4</v>
      </c>
      <c r="K9" s="6" t="n">
        <v>3.08</v>
      </c>
      <c r="L9" s="7" t="n">
        <v>69.7826072182585</v>
      </c>
      <c r="M9" s="9" t="n">
        <v>132.1</v>
      </c>
      <c r="N9" s="7" t="n">
        <v>1000000</v>
      </c>
      <c r="O9" s="5" t="n">
        <v>21.9666666666667</v>
      </c>
      <c r="P9" s="7" t="n">
        <v>1475</v>
      </c>
      <c r="Q9" s="10" t="n">
        <v>3465</v>
      </c>
      <c r="R9" s="7" t="n">
        <v>89979207</v>
      </c>
      <c r="S9" s="11" t="n">
        <v>0.589587129516842</v>
      </c>
    </row>
    <row r="10" customFormat="false" ht="15" hidden="false" customHeight="false" outlineLevel="0" collapsed="false">
      <c r="A10" s="4" t="s">
        <v>32</v>
      </c>
      <c r="B10" s="4" t="s">
        <v>22</v>
      </c>
      <c r="C10" s="4" t="s">
        <v>33</v>
      </c>
      <c r="D10" s="5" t="n">
        <v>45.9944993120341</v>
      </c>
      <c r="E10" s="6" t="n">
        <v>0.82</v>
      </c>
      <c r="F10" s="7" t="n">
        <v>4432.7</v>
      </c>
      <c r="G10" s="8" t="n">
        <v>1.40754823275798</v>
      </c>
      <c r="H10" s="6" t="n">
        <v>10</v>
      </c>
      <c r="I10" s="6" t="n">
        <v>50</v>
      </c>
      <c r="J10" s="6" t="n">
        <v>1</v>
      </c>
      <c r="K10" s="6" t="n">
        <v>7.7</v>
      </c>
      <c r="L10" s="7" t="n">
        <v>53.2285566740847</v>
      </c>
      <c r="M10" s="9" t="n">
        <v>2.6</v>
      </c>
      <c r="N10" s="7" t="n">
        <v>1000000</v>
      </c>
      <c r="O10" s="5" t="n">
        <v>40.55</v>
      </c>
      <c r="P10" s="7" t="n">
        <v>1253.1</v>
      </c>
      <c r="Q10" s="10" t="n">
        <v>1537</v>
      </c>
      <c r="R10" s="7" t="n">
        <v>9994716</v>
      </c>
      <c r="S10" s="11" t="n">
        <v>0.211538344023534</v>
      </c>
    </row>
    <row r="11" customFormat="false" ht="15" hidden="false" customHeight="false" outlineLevel="0" collapsed="false">
      <c r="A11" s="4" t="s">
        <v>34</v>
      </c>
      <c r="B11" s="4" t="s">
        <v>22</v>
      </c>
      <c r="C11" s="4" t="s">
        <v>35</v>
      </c>
      <c r="D11" s="5" t="n">
        <v>45.1697751115741</v>
      </c>
      <c r="E11" s="6" t="n">
        <v>1.71</v>
      </c>
      <c r="F11" s="7" t="n">
        <v>7629.7</v>
      </c>
      <c r="G11" s="4"/>
      <c r="H11" s="6" t="n">
        <v>10</v>
      </c>
      <c r="I11" s="6" t="n">
        <v>50</v>
      </c>
      <c r="J11" s="6" t="n">
        <v>1</v>
      </c>
      <c r="K11" s="6" t="n">
        <v>7.7</v>
      </c>
      <c r="L11" s="4"/>
      <c r="M11" s="4"/>
      <c r="N11" s="7" t="n">
        <v>1000000</v>
      </c>
      <c r="O11" s="5" t="n">
        <v>26.55</v>
      </c>
      <c r="P11" s="7" t="n">
        <v>1471.32</v>
      </c>
      <c r="Q11" s="10" t="n">
        <v>2441</v>
      </c>
      <c r="R11" s="7" t="n">
        <v>12377780</v>
      </c>
      <c r="S11" s="4"/>
    </row>
    <row r="12" customFormat="false" ht="15" hidden="false" customHeight="false" outlineLevel="0" collapsed="false">
      <c r="A12" s="4" t="s">
        <v>36</v>
      </c>
      <c r="B12" s="4" t="s">
        <v>31</v>
      </c>
      <c r="C12" s="4" t="s">
        <v>25</v>
      </c>
      <c r="D12" s="5" t="n">
        <v>44.138026369169</v>
      </c>
      <c r="E12" s="6" t="n">
        <v>1.18</v>
      </c>
      <c r="F12" s="7" t="n">
        <v>19576.3</v>
      </c>
      <c r="G12" s="8" t="n">
        <v>4.92049100479095</v>
      </c>
      <c r="H12" s="6" t="n">
        <v>4</v>
      </c>
      <c r="I12" s="6" t="n">
        <v>20</v>
      </c>
      <c r="J12" s="6" t="n">
        <v>0.4</v>
      </c>
      <c r="K12" s="6" t="n">
        <v>3.08</v>
      </c>
      <c r="L12" s="7" t="n">
        <v>64.7891825920889</v>
      </c>
      <c r="M12" s="9" t="n">
        <v>50.6</v>
      </c>
      <c r="N12" s="7" t="n">
        <v>1000000</v>
      </c>
      <c r="O12" s="5" t="n">
        <v>20.9833333333333</v>
      </c>
      <c r="P12" s="7" t="n">
        <v>1434.68</v>
      </c>
      <c r="Q12" s="10" t="n">
        <v>2082</v>
      </c>
      <c r="R12" s="7" t="n">
        <v>50998357</v>
      </c>
      <c r="S12" s="11" t="n">
        <v>0.517254366640373</v>
      </c>
    </row>
    <row r="13" customFormat="false" ht="15" hidden="false" customHeight="false" outlineLevel="0" collapsed="false">
      <c r="A13" s="4" t="s">
        <v>37</v>
      </c>
      <c r="B13" s="4" t="s">
        <v>31</v>
      </c>
      <c r="C13" s="4" t="s">
        <v>27</v>
      </c>
      <c r="D13" s="5" t="n">
        <v>42.4991760420519</v>
      </c>
      <c r="E13" s="6" t="n">
        <v>0.81</v>
      </c>
      <c r="F13" s="7" t="n">
        <v>13250</v>
      </c>
      <c r="G13" s="8" t="n">
        <v>3.2611992169442</v>
      </c>
      <c r="H13" s="6" t="n">
        <v>4</v>
      </c>
      <c r="I13" s="6" t="n">
        <v>20</v>
      </c>
      <c r="J13" s="6" t="n">
        <v>0.4</v>
      </c>
      <c r="K13" s="6" t="n">
        <v>3.08</v>
      </c>
      <c r="L13" s="7" t="n">
        <v>67.7935638686657</v>
      </c>
      <c r="M13" s="9" t="n">
        <v>11.3</v>
      </c>
      <c r="N13" s="7" t="n">
        <v>1000000</v>
      </c>
      <c r="O13" s="5" t="n">
        <v>20.3666666666667</v>
      </c>
      <c r="P13" s="7" t="n">
        <v>1360.88</v>
      </c>
      <c r="Q13" s="10" t="n">
        <v>1487</v>
      </c>
      <c r="R13" s="7" t="n">
        <v>33729509</v>
      </c>
      <c r="S13" s="11" t="n">
        <v>0.443420532853228</v>
      </c>
    </row>
    <row r="14" customFormat="false" ht="15" hidden="false" customHeight="false" outlineLevel="0" collapsed="false">
      <c r="A14" s="4" t="s">
        <v>38</v>
      </c>
      <c r="B14" s="4" t="s">
        <v>39</v>
      </c>
      <c r="C14" s="4" t="s">
        <v>23</v>
      </c>
      <c r="D14" s="5" t="n">
        <v>42.2514998239494</v>
      </c>
      <c r="E14" s="6" t="n">
        <v>1.4</v>
      </c>
      <c r="F14" s="7" t="n">
        <v>38897.5</v>
      </c>
      <c r="G14" s="8" t="n">
        <v>5.60895582383312</v>
      </c>
      <c r="H14" s="6" t="n">
        <v>2</v>
      </c>
      <c r="I14" s="6" t="n">
        <v>12</v>
      </c>
      <c r="J14" s="6" t="n">
        <v>0.2</v>
      </c>
      <c r="K14" s="6" t="n">
        <v>1.74</v>
      </c>
      <c r="L14" s="7" t="n">
        <v>118.145449658423</v>
      </c>
      <c r="M14" s="9" t="n">
        <v>141.3</v>
      </c>
      <c r="N14" s="7" t="n">
        <v>1000000</v>
      </c>
      <c r="O14" s="5" t="n">
        <v>0.05</v>
      </c>
      <c r="P14" s="7" t="n">
        <v>1330</v>
      </c>
      <c r="Q14" s="10" t="n">
        <v>2501</v>
      </c>
      <c r="R14" s="7" t="n">
        <v>121832989</v>
      </c>
      <c r="S14" s="11" t="n">
        <v>0.669552584954644</v>
      </c>
    </row>
    <row r="15" customFormat="false" ht="15" hidden="false" customHeight="false" outlineLevel="0" collapsed="false">
      <c r="A15" s="4" t="s">
        <v>40</v>
      </c>
      <c r="B15" s="4" t="s">
        <v>31</v>
      </c>
      <c r="C15" s="4" t="s">
        <v>29</v>
      </c>
      <c r="D15" s="5" t="n">
        <v>39.4845585889147</v>
      </c>
      <c r="E15" s="6" t="n">
        <v>0.5</v>
      </c>
      <c r="F15" s="7" t="n">
        <v>7874</v>
      </c>
      <c r="G15" s="8" t="n">
        <v>1.93066637669244</v>
      </c>
      <c r="H15" s="6" t="n">
        <v>4</v>
      </c>
      <c r="I15" s="6" t="n">
        <v>20</v>
      </c>
      <c r="J15" s="6" t="n">
        <v>0.4</v>
      </c>
      <c r="K15" s="6" t="n">
        <v>3.08</v>
      </c>
      <c r="L15" s="7" t="n">
        <v>66.7259981920379</v>
      </c>
      <c r="M15" s="9" t="n">
        <v>5</v>
      </c>
      <c r="N15" s="7" t="n">
        <v>1000000</v>
      </c>
      <c r="O15" s="5" t="n">
        <v>19.4</v>
      </c>
      <c r="P15" s="7" t="n">
        <v>1240.36</v>
      </c>
      <c r="Q15" s="10" t="n">
        <v>997</v>
      </c>
      <c r="R15" s="7" t="n">
        <v>21267358</v>
      </c>
      <c r="S15" s="11" t="n">
        <v>0.338100024988737</v>
      </c>
    </row>
    <row r="16" customFormat="false" ht="15" hidden="false" customHeight="false" outlineLevel="0" collapsed="false">
      <c r="A16" s="4" t="s">
        <v>41</v>
      </c>
      <c r="B16" s="4" t="s">
        <v>39</v>
      </c>
      <c r="C16" s="4" t="s">
        <v>25</v>
      </c>
      <c r="D16" s="5" t="n">
        <v>38.1856370742927</v>
      </c>
      <c r="E16" s="6" t="n">
        <v>0.63</v>
      </c>
      <c r="F16" s="7" t="n">
        <v>20367.3</v>
      </c>
      <c r="G16" s="8" t="n">
        <v>3.39080994546568</v>
      </c>
      <c r="H16" s="6" t="n">
        <v>2</v>
      </c>
      <c r="I16" s="6" t="n">
        <v>12</v>
      </c>
      <c r="J16" s="6" t="n">
        <v>0.2</v>
      </c>
      <c r="K16" s="6" t="n">
        <v>1.74</v>
      </c>
      <c r="L16" s="7" t="n">
        <v>99.516023525149</v>
      </c>
      <c r="M16" s="9" t="n">
        <v>24.3</v>
      </c>
      <c r="N16" s="7" t="n">
        <v>1000000</v>
      </c>
      <c r="O16" s="5" t="n">
        <v>-2.98333333333333</v>
      </c>
      <c r="P16" s="7" t="n">
        <v>1337.28</v>
      </c>
      <c r="Q16" s="10" t="n">
        <v>1187</v>
      </c>
      <c r="R16" s="7" t="n">
        <v>51995246</v>
      </c>
      <c r="S16" s="11" t="n">
        <v>0.565202557616837</v>
      </c>
    </row>
    <row r="17" customFormat="false" ht="15" hidden="false" customHeight="false" outlineLevel="0" collapsed="false">
      <c r="A17" s="4" t="s">
        <v>42</v>
      </c>
      <c r="B17" s="4" t="s">
        <v>43</v>
      </c>
      <c r="C17" s="4" t="s">
        <v>23</v>
      </c>
      <c r="D17" s="5" t="n">
        <v>37.5048489690841</v>
      </c>
      <c r="E17" s="6" t="n">
        <v>0.18</v>
      </c>
      <c r="F17" s="7" t="n">
        <v>41234.6</v>
      </c>
      <c r="G17" s="8" t="n">
        <v>5.63559444255009</v>
      </c>
      <c r="H17" s="6" t="n">
        <v>0.2</v>
      </c>
      <c r="I17" s="6" t="n">
        <v>1.2</v>
      </c>
      <c r="J17" s="6" t="n">
        <v>0.02</v>
      </c>
      <c r="K17" s="6" t="n">
        <v>0.174</v>
      </c>
      <c r="L17" s="7" t="n">
        <v>120.19787722254</v>
      </c>
      <c r="M17" s="9" t="n">
        <v>171.7</v>
      </c>
      <c r="N17" s="7" t="n">
        <v>1000000</v>
      </c>
      <c r="O17" s="5" t="n">
        <v>-10.2833333333333</v>
      </c>
      <c r="P17" s="7" t="n">
        <v>1339.38</v>
      </c>
      <c r="Q17" s="10" t="n">
        <v>320</v>
      </c>
      <c r="R17" s="7" t="n">
        <v>153656724</v>
      </c>
      <c r="S17" s="11" t="n">
        <v>0.681424142855575</v>
      </c>
    </row>
    <row r="18" customFormat="false" ht="15" hidden="false" customHeight="false" outlineLevel="0" collapsed="false">
      <c r="A18" s="4" t="s">
        <v>44</v>
      </c>
      <c r="B18" s="4" t="s">
        <v>43</v>
      </c>
      <c r="C18" s="4" t="s">
        <v>25</v>
      </c>
      <c r="D18" s="5" t="n">
        <v>34.772048822309</v>
      </c>
      <c r="E18" s="6" t="n">
        <v>0.09</v>
      </c>
      <c r="F18" s="7" t="n">
        <v>23624.5</v>
      </c>
      <c r="G18" s="8" t="n">
        <v>3.52986188813104</v>
      </c>
      <c r="H18" s="6" t="n">
        <v>0.2</v>
      </c>
      <c r="I18" s="6" t="n">
        <v>1.2</v>
      </c>
      <c r="J18" s="6" t="n">
        <v>0.02</v>
      </c>
      <c r="K18" s="6" t="n">
        <v>0.174</v>
      </c>
      <c r="L18" s="7" t="n">
        <v>113.333784307156</v>
      </c>
      <c r="M18" s="9" t="n">
        <v>60.2</v>
      </c>
      <c r="N18" s="7" t="n">
        <v>1000000</v>
      </c>
      <c r="O18" s="5" t="n">
        <v>-10.7666666666667</v>
      </c>
      <c r="P18" s="7" t="n">
        <v>1268.01</v>
      </c>
      <c r="Q18" s="10" t="n">
        <v>179</v>
      </c>
      <c r="R18" s="7" t="n">
        <v>85174201</v>
      </c>
      <c r="S18" s="11" t="n">
        <v>0.623218792217403</v>
      </c>
    </row>
    <row r="19" customFormat="false" ht="15" hidden="false" customHeight="false" outlineLevel="0" collapsed="false">
      <c r="A19" s="4" t="s">
        <v>45</v>
      </c>
      <c r="B19" s="4" t="s">
        <v>39</v>
      </c>
      <c r="C19" s="4" t="s">
        <v>27</v>
      </c>
      <c r="D19" s="5" t="n">
        <v>34.4910058067555</v>
      </c>
      <c r="E19" s="6" t="n">
        <v>0.34</v>
      </c>
      <c r="F19" s="7" t="n">
        <v>11293.7</v>
      </c>
      <c r="G19" s="8" t="n">
        <v>1.91784956863936</v>
      </c>
      <c r="H19" s="6" t="n">
        <v>2</v>
      </c>
      <c r="I19" s="6" t="n">
        <v>12</v>
      </c>
      <c r="J19" s="6" t="n">
        <v>0.2</v>
      </c>
      <c r="K19" s="6" t="n">
        <v>1.74</v>
      </c>
      <c r="L19" s="7" t="n">
        <v>97.1154657980342</v>
      </c>
      <c r="M19" s="9" t="n">
        <v>2.4</v>
      </c>
      <c r="N19" s="7" t="n">
        <v>1000000</v>
      </c>
      <c r="O19" s="5" t="n">
        <v>-3.46666666666667</v>
      </c>
      <c r="P19" s="7" t="n">
        <v>1201.36</v>
      </c>
      <c r="Q19" s="10" t="n">
        <v>768</v>
      </c>
      <c r="R19" s="7" t="n">
        <v>33205685</v>
      </c>
      <c r="S19" s="11" t="n">
        <v>0.481812278268262</v>
      </c>
    </row>
    <row r="20" customFormat="false" ht="15" hidden="false" customHeight="false" outlineLevel="0" collapsed="false">
      <c r="A20" s="4" t="s">
        <v>46</v>
      </c>
      <c r="B20" s="4" t="s">
        <v>31</v>
      </c>
      <c r="C20" s="4" t="s">
        <v>33</v>
      </c>
      <c r="D20" s="5" t="n">
        <v>33.7979387646002</v>
      </c>
      <c r="E20" s="6" t="n">
        <v>0.26</v>
      </c>
      <c r="F20" s="7" t="n">
        <v>3974.4</v>
      </c>
      <c r="G20" s="8" t="n">
        <v>0.988732238737368</v>
      </c>
      <c r="H20" s="6" t="n">
        <v>4</v>
      </c>
      <c r="I20" s="6" t="n">
        <v>20</v>
      </c>
      <c r="J20" s="6" t="n">
        <v>0.4</v>
      </c>
      <c r="K20" s="6" t="n">
        <v>3.08</v>
      </c>
      <c r="L20" s="7" t="n">
        <v>67.3929593346585</v>
      </c>
      <c r="M20" s="9" t="n">
        <v>2.7</v>
      </c>
      <c r="N20" s="7" t="n">
        <v>1000000</v>
      </c>
      <c r="O20" s="5" t="n">
        <v>18.8666666666667</v>
      </c>
      <c r="P20" s="7" t="n">
        <v>1042.06</v>
      </c>
      <c r="Q20" s="10" t="n">
        <v>637</v>
      </c>
      <c r="R20" s="7" t="n">
        <v>12646474</v>
      </c>
      <c r="S20" s="11" t="n">
        <v>0.21065735368971</v>
      </c>
    </row>
    <row r="21" customFormat="false" ht="15" hidden="false" customHeight="false" outlineLevel="0" collapsed="false">
      <c r="A21" s="4" t="s">
        <v>47</v>
      </c>
      <c r="B21" s="4" t="s">
        <v>43</v>
      </c>
      <c r="C21" s="4" t="s">
        <v>27</v>
      </c>
      <c r="D21" s="5" t="n">
        <v>32.9059788719235</v>
      </c>
      <c r="E21" s="4"/>
      <c r="F21" s="4"/>
      <c r="G21" s="4"/>
      <c r="H21" s="6" t="n">
        <v>0.2</v>
      </c>
      <c r="I21" s="6" t="n">
        <v>1.2</v>
      </c>
      <c r="J21" s="6" t="n">
        <v>0.02</v>
      </c>
      <c r="K21" s="6" t="n">
        <v>0.174</v>
      </c>
      <c r="L21" s="7" t="n">
        <v>121.56404423997</v>
      </c>
      <c r="M21" s="9" t="n">
        <v>13.2</v>
      </c>
      <c r="N21" s="7" t="n">
        <v>1000000</v>
      </c>
      <c r="O21" s="5" t="n">
        <v>-12</v>
      </c>
      <c r="P21" s="7" t="n">
        <v>1172.84</v>
      </c>
      <c r="Q21" s="4"/>
      <c r="R21" s="4"/>
      <c r="S21" s="4"/>
    </row>
    <row r="22" customFormat="false" ht="15" hidden="false" customHeight="false" outlineLevel="0" collapsed="false">
      <c r="A22" s="4" t="s">
        <v>48</v>
      </c>
      <c r="B22" s="4" t="s">
        <v>39</v>
      </c>
      <c r="C22" s="4" t="s">
        <v>29</v>
      </c>
      <c r="D22" s="5" t="n">
        <v>32.7587708276955</v>
      </c>
      <c r="E22" s="4"/>
      <c r="F22" s="4"/>
      <c r="G22" s="4"/>
      <c r="H22" s="6" t="n">
        <v>2</v>
      </c>
      <c r="I22" s="6" t="n">
        <v>12</v>
      </c>
      <c r="J22" s="6" t="n">
        <v>0.2</v>
      </c>
      <c r="K22" s="6" t="n">
        <v>1.74</v>
      </c>
      <c r="L22" s="7" t="n">
        <v>93.7843966042825</v>
      </c>
      <c r="M22" s="9" t="n">
        <v>1.6</v>
      </c>
      <c r="N22" s="7" t="n">
        <v>1000000</v>
      </c>
      <c r="O22" s="5" t="n">
        <v>-5.13333333333333</v>
      </c>
      <c r="P22" s="7" t="n">
        <v>1041.14</v>
      </c>
      <c r="Q22" s="4"/>
      <c r="R22" s="4"/>
      <c r="S22" s="4"/>
    </row>
    <row r="23" customFormat="false" ht="15" hidden="false" customHeight="false" outlineLevel="0" collapsed="false">
      <c r="A23" s="4" t="s">
        <v>49</v>
      </c>
      <c r="B23" s="4" t="s">
        <v>39</v>
      </c>
      <c r="C23" s="4" t="s">
        <v>33</v>
      </c>
      <c r="D23" s="5" t="n">
        <v>27.8765112356137</v>
      </c>
      <c r="E23" s="4"/>
      <c r="F23" s="4"/>
      <c r="G23" s="4"/>
      <c r="H23" s="6" t="n">
        <v>2</v>
      </c>
      <c r="I23" s="6" t="n">
        <v>12</v>
      </c>
      <c r="J23" s="6" t="n">
        <v>0.2</v>
      </c>
      <c r="K23" s="6" t="n">
        <v>1.74</v>
      </c>
      <c r="L23" s="7" t="n">
        <v>93.4209283880496</v>
      </c>
      <c r="M23" s="9" t="n">
        <v>1.6</v>
      </c>
      <c r="N23" s="7" t="n">
        <v>1000000</v>
      </c>
      <c r="O23" s="5" t="n">
        <v>-6.83333333333333</v>
      </c>
      <c r="P23" s="7" t="n">
        <v>1014.18</v>
      </c>
      <c r="Q23" s="4"/>
      <c r="R23" s="4"/>
      <c r="S23" s="4"/>
    </row>
    <row r="24" customFormat="false" ht="15" hidden="false" customHeight="false" outlineLevel="0" collapsed="false">
      <c r="A24" s="4" t="s">
        <v>50</v>
      </c>
      <c r="B24" s="4" t="s">
        <v>43</v>
      </c>
      <c r="C24" s="4" t="s">
        <v>29</v>
      </c>
      <c r="D24" s="5" t="n">
        <v>25.7828734221316</v>
      </c>
      <c r="E24" s="4"/>
      <c r="F24" s="4"/>
      <c r="G24" s="4"/>
      <c r="H24" s="6" t="n">
        <v>0.2</v>
      </c>
      <c r="I24" s="6" t="n">
        <v>1.2</v>
      </c>
      <c r="J24" s="6" t="n">
        <v>0.02</v>
      </c>
      <c r="K24" s="6" t="n">
        <v>0.174</v>
      </c>
      <c r="L24" s="7" t="n">
        <v>109.572472963927</v>
      </c>
      <c r="M24" s="9" t="n">
        <v>2.2</v>
      </c>
      <c r="N24" s="7" t="n">
        <v>1000000</v>
      </c>
      <c r="O24" s="5" t="n">
        <v>-13.1833333333333</v>
      </c>
      <c r="P24" s="7" t="n">
        <v>933.37</v>
      </c>
      <c r="Q24" s="4"/>
      <c r="R24" s="4"/>
      <c r="S24" s="4"/>
    </row>
    <row r="25" customFormat="false" ht="15" hidden="false" customHeight="false" outlineLevel="0" collapsed="false">
      <c r="A25" s="4" t="s">
        <v>51</v>
      </c>
      <c r="B25" s="4" t="s">
        <v>39</v>
      </c>
      <c r="C25" s="4" t="s">
        <v>35</v>
      </c>
      <c r="D25" s="5" t="n">
        <v>22.3001011790774</v>
      </c>
      <c r="E25" s="4"/>
      <c r="F25" s="4"/>
      <c r="G25" s="4"/>
      <c r="H25" s="6" t="n">
        <v>2</v>
      </c>
      <c r="I25" s="6" t="n">
        <v>12</v>
      </c>
      <c r="J25" s="6" t="n">
        <v>0.2</v>
      </c>
      <c r="K25" s="6" t="n">
        <v>1.74</v>
      </c>
      <c r="L25" s="7" t="n">
        <v>94.8978497176223</v>
      </c>
      <c r="M25" s="9" t="n">
        <v>0.8</v>
      </c>
      <c r="N25" s="7" t="n">
        <v>1000000</v>
      </c>
      <c r="O25" s="5" t="n">
        <v>-23.2166666666667</v>
      </c>
      <c r="P25" s="7" t="n">
        <v>946.69</v>
      </c>
      <c r="Q25" s="4"/>
      <c r="R25" s="4"/>
      <c r="S25" s="4"/>
    </row>
    <row r="26" customFormat="false" ht="15" hidden="false" customHeight="false" outlineLevel="0" collapsed="false">
      <c r="A26" s="4" t="s">
        <v>52</v>
      </c>
      <c r="B26" s="4" t="s">
        <v>43</v>
      </c>
      <c r="C26" s="4" t="s">
        <v>33</v>
      </c>
      <c r="D26" s="5" t="n">
        <v>21.834227046588</v>
      </c>
      <c r="E26" s="4"/>
      <c r="F26" s="4"/>
      <c r="G26" s="4"/>
      <c r="H26" s="6" t="n">
        <v>0.2</v>
      </c>
      <c r="I26" s="6" t="n">
        <v>1.2</v>
      </c>
      <c r="J26" s="6" t="n">
        <v>0.02</v>
      </c>
      <c r="K26" s="6" t="n">
        <v>0.174</v>
      </c>
      <c r="L26" s="7" t="n">
        <v>120.313595959943</v>
      </c>
      <c r="M26" s="9" t="n">
        <v>1.8</v>
      </c>
      <c r="N26" s="7" t="n">
        <v>1000000</v>
      </c>
      <c r="O26" s="5" t="n">
        <v>-14.65</v>
      </c>
      <c r="P26" s="7" t="n">
        <v>742.04</v>
      </c>
      <c r="Q26" s="4"/>
      <c r="R26" s="4"/>
      <c r="S26" s="4"/>
    </row>
    <row r="28" customFormat="false" ht="15" hidden="false" customHeight="false" outlineLevel="0" collapsed="false">
      <c r="A28" s="2" t="s">
        <v>53</v>
      </c>
    </row>
    <row r="29" customFormat="false" ht="15" hidden="false" customHeight="false" outlineLevel="0" collapsed="false">
      <c r="A29" s="2" t="s">
        <v>54</v>
      </c>
    </row>
  </sheetData>
  <autoFilter ref="A4:S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8" min="7" style="0" width="14"/>
    <col collapsed="false" customWidth="true" hidden="false" outlineLevel="0" max="10" min="9" style="0" width="10"/>
    <col collapsed="false" customWidth="true" hidden="false" outlineLevel="0" max="11" min="11" style="0" width="12"/>
    <col collapsed="false" customWidth="true" hidden="false" outlineLevel="0" max="13" min="12" style="0" width="14"/>
    <col collapsed="false" customWidth="true" hidden="false" outlineLevel="0" max="14" min="14" style="0" width="12"/>
    <col collapsed="false" customWidth="true" hidden="false" outlineLevel="0" max="15" min="15" style="0" width="13"/>
  </cols>
  <sheetData>
    <row r="1" customFormat="false" ht="16.1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4" customFormat="false" ht="39.75" hidden="false" customHeight="true" outlineLevel="0" collapsed="false">
      <c r="A4" s="3" t="s">
        <v>57</v>
      </c>
      <c r="B4" s="3" t="s">
        <v>2</v>
      </c>
      <c r="C4" s="3" t="s">
        <v>58</v>
      </c>
      <c r="D4" s="3" t="s">
        <v>5</v>
      </c>
      <c r="E4" s="3" t="s">
        <v>6</v>
      </c>
      <c r="F4" s="3" t="s">
        <v>59</v>
      </c>
      <c r="G4" s="3" t="s">
        <v>7</v>
      </c>
      <c r="H4" s="3" t="s">
        <v>60</v>
      </c>
      <c r="I4" s="3" t="s">
        <v>9</v>
      </c>
      <c r="J4" s="3" t="s">
        <v>10</v>
      </c>
      <c r="K4" s="3" t="s">
        <v>16</v>
      </c>
      <c r="L4" s="3" t="s">
        <v>61</v>
      </c>
      <c r="M4" s="3" t="s">
        <v>62</v>
      </c>
      <c r="N4" s="3" t="s">
        <v>63</v>
      </c>
      <c r="O4" s="3" t="s">
        <v>64</v>
      </c>
    </row>
    <row r="5" customFormat="false" ht="15" hidden="false" customHeight="false" outlineLevel="0" collapsed="false">
      <c r="A5" s="12" t="n">
        <v>1</v>
      </c>
      <c r="B5" s="12" t="s">
        <v>65</v>
      </c>
      <c r="C5" s="12" t="s">
        <v>66</v>
      </c>
      <c r="D5" s="13" t="n">
        <v>53.3737509623252</v>
      </c>
      <c r="E5" s="14" t="n">
        <v>7.63</v>
      </c>
      <c r="F5" s="15" t="n">
        <v>6.99524914316189</v>
      </c>
      <c r="G5" s="16" t="n">
        <v>78110.8</v>
      </c>
      <c r="H5" s="16" t="n">
        <v>1463.4684389174</v>
      </c>
      <c r="I5" s="14" t="n">
        <v>10</v>
      </c>
      <c r="J5" s="14" t="n">
        <v>50</v>
      </c>
      <c r="K5" s="13" t="n">
        <v>43.45</v>
      </c>
      <c r="L5" s="17" t="n">
        <v>0.274160732451679</v>
      </c>
      <c r="M5" s="17" t="n">
        <v>0.52020202020202</v>
      </c>
      <c r="N5" s="16" t="n">
        <v>1661.82</v>
      </c>
      <c r="O5" s="17" t="n">
        <v>0.853333333333333</v>
      </c>
    </row>
    <row r="6" customFormat="false" ht="15" hidden="false" customHeight="false" outlineLevel="0" collapsed="false">
      <c r="A6" s="12" t="n">
        <v>2</v>
      </c>
      <c r="B6" s="12" t="s">
        <v>67</v>
      </c>
      <c r="C6" s="12" t="s">
        <v>66</v>
      </c>
      <c r="D6" s="13" t="n">
        <v>53.1840337538944</v>
      </c>
      <c r="E6" s="14" t="n">
        <v>5.98</v>
      </c>
      <c r="F6" s="15" t="n">
        <v>8.89365112941378</v>
      </c>
      <c r="G6" s="16" t="n">
        <v>60537.6</v>
      </c>
      <c r="H6" s="16" t="n">
        <v>1138.26642559934</v>
      </c>
      <c r="I6" s="14" t="n">
        <v>10</v>
      </c>
      <c r="J6" s="14" t="n">
        <v>50</v>
      </c>
      <c r="K6" s="13" t="n">
        <v>42.3833333333333</v>
      </c>
      <c r="L6" s="17" t="n">
        <v>0.294523926985693</v>
      </c>
      <c r="M6" s="17" t="n">
        <v>0.55050505050505</v>
      </c>
      <c r="N6" s="16" t="n">
        <v>1650.01</v>
      </c>
      <c r="O6" s="17" t="n">
        <v>0.83</v>
      </c>
    </row>
    <row r="7" customFormat="false" ht="15" hidden="false" customHeight="false" outlineLevel="0" collapsed="false">
      <c r="A7" s="18" t="n">
        <v>3</v>
      </c>
      <c r="B7" s="18" t="s">
        <v>21</v>
      </c>
      <c r="C7" s="18" t="s">
        <v>68</v>
      </c>
      <c r="D7" s="19" t="n">
        <v>52.814069395513</v>
      </c>
      <c r="E7" s="20" t="n">
        <v>3.26</v>
      </c>
      <c r="F7" s="21" t="n">
        <v>16.2006347838997</v>
      </c>
      <c r="G7" s="22" t="n">
        <v>27205.5</v>
      </c>
      <c r="H7" s="22" t="n">
        <v>515.118420363785</v>
      </c>
      <c r="I7" s="20" t="n">
        <v>10</v>
      </c>
      <c r="J7" s="20" t="n">
        <v>50</v>
      </c>
      <c r="K7" s="19" t="n">
        <v>43.4</v>
      </c>
      <c r="L7" s="23" t="n">
        <v>0.486631016042781</v>
      </c>
      <c r="M7" s="23" t="n">
        <v>0.590909090909091</v>
      </c>
      <c r="N7" s="22" t="n">
        <v>1562.01</v>
      </c>
      <c r="O7" s="23" t="n">
        <v>0.806666666666667</v>
      </c>
    </row>
    <row r="8" customFormat="false" ht="15" hidden="false" customHeight="false" outlineLevel="0" collapsed="false">
      <c r="A8" s="18" t="n">
        <v>4</v>
      </c>
      <c r="B8" s="18" t="s">
        <v>24</v>
      </c>
      <c r="C8" s="18" t="s">
        <v>68</v>
      </c>
      <c r="D8" s="19" t="n">
        <v>52.5059027108782</v>
      </c>
      <c r="E8" s="20" t="n">
        <v>2.31</v>
      </c>
      <c r="F8" s="21" t="n">
        <v>22.7298280133672</v>
      </c>
      <c r="G8" s="22" t="n">
        <v>16901.2</v>
      </c>
      <c r="H8" s="22" t="n">
        <v>321.891427961268</v>
      </c>
      <c r="I8" s="20" t="n">
        <v>10</v>
      </c>
      <c r="J8" s="20" t="n">
        <v>50</v>
      </c>
      <c r="K8" s="19" t="n">
        <v>43.4166666666667</v>
      </c>
      <c r="L8" s="23" t="n">
        <v>0.516819571865443</v>
      </c>
      <c r="M8" s="23" t="n">
        <v>0.595959595959596</v>
      </c>
      <c r="N8" s="22" t="n">
        <v>1533.73</v>
      </c>
      <c r="O8" s="23" t="n">
        <v>0.8</v>
      </c>
    </row>
    <row r="9" customFormat="false" ht="15" hidden="false" customHeight="false" outlineLevel="0" collapsed="false">
      <c r="A9" s="12" t="n">
        <v>5</v>
      </c>
      <c r="B9" s="12" t="s">
        <v>69</v>
      </c>
      <c r="C9" s="12" t="s">
        <v>66</v>
      </c>
      <c r="D9" s="13" t="n">
        <v>51.2094958852237</v>
      </c>
      <c r="E9" s="14" t="n">
        <v>3.91</v>
      </c>
      <c r="F9" s="15" t="n">
        <v>13.097057771157</v>
      </c>
      <c r="G9" s="16" t="n">
        <v>38054.3</v>
      </c>
      <c r="H9" s="16" t="n">
        <v>743.11022481634</v>
      </c>
      <c r="I9" s="14" t="n">
        <v>10</v>
      </c>
      <c r="J9" s="14" t="n">
        <v>50</v>
      </c>
      <c r="K9" s="13" t="n">
        <v>40.8</v>
      </c>
      <c r="L9" s="17" t="n">
        <v>0.311787072243346</v>
      </c>
      <c r="M9" s="17" t="n">
        <v>0.52020202020202</v>
      </c>
      <c r="N9" s="16" t="n">
        <v>1578.19</v>
      </c>
      <c r="O9" s="17" t="n">
        <v>0.836666666666667</v>
      </c>
    </row>
    <row r="10" customFormat="false" ht="15" hidden="false" customHeight="false" outlineLevel="0" collapsed="false">
      <c r="A10" s="18" t="n">
        <v>6</v>
      </c>
      <c r="B10" s="18" t="s">
        <v>26</v>
      </c>
      <c r="C10" s="18" t="s">
        <v>68</v>
      </c>
      <c r="D10" s="19" t="n">
        <v>51.0480721636152</v>
      </c>
      <c r="E10" s="20" t="n">
        <v>1.72</v>
      </c>
      <c r="F10" s="21" t="n">
        <v>29.6791117230321</v>
      </c>
      <c r="G10" s="22" t="n">
        <v>11794.9</v>
      </c>
      <c r="H10" s="22" t="n">
        <v>231.054758781016</v>
      </c>
      <c r="I10" s="20" t="n">
        <v>10</v>
      </c>
      <c r="J10" s="20" t="n">
        <v>50</v>
      </c>
      <c r="K10" s="19" t="n">
        <v>43.7333333333333</v>
      </c>
      <c r="L10" s="23" t="n">
        <v>0.552315608919383</v>
      </c>
      <c r="M10" s="23" t="n">
        <v>0.54040404040404</v>
      </c>
      <c r="N10" s="22" t="n">
        <v>1493.87</v>
      </c>
      <c r="O10" s="23" t="n">
        <v>0.8</v>
      </c>
    </row>
    <row r="11" customFormat="false" ht="15" hidden="false" customHeight="false" outlineLevel="0" collapsed="false">
      <c r="A11" s="12" t="n">
        <v>7</v>
      </c>
      <c r="B11" s="12" t="s">
        <v>70</v>
      </c>
      <c r="C11" s="12" t="s">
        <v>66</v>
      </c>
      <c r="D11" s="13" t="n">
        <v>50.7001865797629</v>
      </c>
      <c r="E11" s="14" t="n">
        <v>5.86</v>
      </c>
      <c r="F11" s="15" t="n">
        <v>8.65190897265578</v>
      </c>
      <c r="G11" s="16" t="n">
        <v>72511.4</v>
      </c>
      <c r="H11" s="16" t="n">
        <v>1430.19986496348</v>
      </c>
      <c r="I11" s="14" t="n">
        <v>5</v>
      </c>
      <c r="J11" s="14" t="n">
        <v>25</v>
      </c>
      <c r="K11" s="13" t="n">
        <v>37.0666666666667</v>
      </c>
      <c r="L11" s="17" t="n">
        <v>0.391822827938671</v>
      </c>
      <c r="M11" s="17" t="n">
        <v>0.48989898989899</v>
      </c>
      <c r="N11" s="16" t="n">
        <v>1644.9</v>
      </c>
      <c r="O11" s="17" t="n">
        <v>0.793333333333333</v>
      </c>
    </row>
    <row r="12" customFormat="false" ht="15" hidden="false" customHeight="false" outlineLevel="0" collapsed="false">
      <c r="A12" s="12" t="n">
        <v>8</v>
      </c>
      <c r="B12" s="12" t="s">
        <v>71</v>
      </c>
      <c r="C12" s="12" t="s">
        <v>66</v>
      </c>
      <c r="D12" s="13" t="n">
        <v>49.6994452733378</v>
      </c>
      <c r="E12" s="14" t="n">
        <v>8.75</v>
      </c>
      <c r="F12" s="15" t="n">
        <v>5.67993660266718</v>
      </c>
      <c r="G12" s="16" t="n">
        <v>66848.4</v>
      </c>
      <c r="H12" s="16" t="n">
        <v>1345.05324219106</v>
      </c>
      <c r="I12" s="14" t="n">
        <v>10</v>
      </c>
      <c r="J12" s="14" t="n">
        <v>50</v>
      </c>
      <c r="K12" s="13" t="n">
        <v>43.3</v>
      </c>
      <c r="L12" s="17" t="n">
        <v>0.363636363636364</v>
      </c>
      <c r="M12" s="17" t="n">
        <v>0.424242424242424</v>
      </c>
      <c r="N12" s="16" t="n">
        <v>1529.62</v>
      </c>
      <c r="O12" s="17" t="n">
        <v>0.823333333333333</v>
      </c>
    </row>
    <row r="13" customFormat="false" ht="15" hidden="false" customHeight="false" outlineLevel="0" collapsed="false">
      <c r="A13" s="18" t="n">
        <v>9</v>
      </c>
      <c r="B13" s="18" t="s">
        <v>28</v>
      </c>
      <c r="C13" s="18" t="s">
        <v>68</v>
      </c>
      <c r="D13" s="19" t="n">
        <v>49.6685363034369</v>
      </c>
      <c r="E13" s="20" t="n">
        <v>1.54</v>
      </c>
      <c r="F13" s="21" t="n">
        <v>32.2522963009331</v>
      </c>
      <c r="G13" s="22" t="n">
        <v>9589.6</v>
      </c>
      <c r="H13" s="22" t="n">
        <v>193.071926690468</v>
      </c>
      <c r="I13" s="20" t="n">
        <v>10</v>
      </c>
      <c r="J13" s="20" t="n">
        <v>50</v>
      </c>
      <c r="K13" s="19" t="n">
        <v>42.2166666666667</v>
      </c>
      <c r="L13" s="23" t="n">
        <v>0.534657650042266</v>
      </c>
      <c r="M13" s="23" t="n">
        <v>0.494949494949495</v>
      </c>
      <c r="N13" s="22" t="n">
        <v>1450.6</v>
      </c>
      <c r="O13" s="23" t="n">
        <v>0.796666666666667</v>
      </c>
    </row>
    <row r="14" customFormat="false" ht="15" hidden="false" customHeight="false" outlineLevel="0" collapsed="false">
      <c r="A14" s="12" t="n">
        <v>10</v>
      </c>
      <c r="B14" s="12" t="s">
        <v>72</v>
      </c>
      <c r="C14" s="12" t="s">
        <v>66</v>
      </c>
      <c r="D14" s="13" t="n">
        <v>49.6514552926939</v>
      </c>
      <c r="E14" s="14" t="n">
        <v>4.88</v>
      </c>
      <c r="F14" s="15" t="n">
        <v>10.1744785435848</v>
      </c>
      <c r="G14" s="16" t="n">
        <v>60655</v>
      </c>
      <c r="H14" s="16" t="n">
        <v>1221.61575410913</v>
      </c>
      <c r="I14" s="14" t="n">
        <v>5</v>
      </c>
      <c r="J14" s="14" t="n">
        <v>25</v>
      </c>
      <c r="K14" s="13" t="n">
        <v>35.3833333333333</v>
      </c>
      <c r="L14" s="17" t="n">
        <v>0.404526748971194</v>
      </c>
      <c r="M14" s="17" t="n">
        <v>0.464646464646465</v>
      </c>
      <c r="N14" s="16" t="n">
        <v>1624.56</v>
      </c>
      <c r="O14" s="17" t="n">
        <v>0.803333333333333</v>
      </c>
    </row>
    <row r="15" customFormat="false" ht="15" hidden="false" customHeight="false" outlineLevel="0" collapsed="false">
      <c r="A15" s="12" t="n">
        <v>11</v>
      </c>
      <c r="B15" s="12" t="s">
        <v>73</v>
      </c>
      <c r="C15" s="12" t="s">
        <v>66</v>
      </c>
      <c r="D15" s="13" t="n">
        <v>49.0591662609523</v>
      </c>
      <c r="E15" s="14" t="n">
        <v>2.98</v>
      </c>
      <c r="F15" s="15" t="n">
        <v>16.4628074701182</v>
      </c>
      <c r="G15" s="16" t="n">
        <v>27887.6</v>
      </c>
      <c r="H15" s="16" t="n">
        <v>568.448306921119</v>
      </c>
      <c r="I15" s="14" t="n">
        <v>10</v>
      </c>
      <c r="J15" s="14" t="n">
        <v>50</v>
      </c>
      <c r="K15" s="13" t="n">
        <v>37.6</v>
      </c>
      <c r="L15" s="17" t="n">
        <v>0.308943089430894</v>
      </c>
      <c r="M15" s="17" t="n">
        <v>0.44949494949495</v>
      </c>
      <c r="N15" s="16" t="n">
        <v>1531.2</v>
      </c>
      <c r="O15" s="17" t="n">
        <v>0.846666666666667</v>
      </c>
    </row>
    <row r="16" customFormat="false" ht="15" hidden="false" customHeight="false" outlineLevel="0" collapsed="false">
      <c r="A16" s="12" t="n">
        <v>12</v>
      </c>
      <c r="B16" s="12" t="s">
        <v>74</v>
      </c>
      <c r="C16" s="12" t="s">
        <v>66</v>
      </c>
      <c r="D16" s="13" t="n">
        <v>48.2371932595908</v>
      </c>
      <c r="E16" s="14" t="n">
        <v>3.61</v>
      </c>
      <c r="F16" s="15" t="n">
        <v>13.3621033960085</v>
      </c>
      <c r="G16" s="16" t="n">
        <v>46239.2</v>
      </c>
      <c r="H16" s="16" t="n">
        <v>958.579819334875</v>
      </c>
      <c r="I16" s="14" t="n">
        <v>5</v>
      </c>
      <c r="J16" s="14" t="n">
        <v>25</v>
      </c>
      <c r="K16" s="13" t="n">
        <v>33.7166666666667</v>
      </c>
      <c r="L16" s="17" t="n">
        <v>0.387920551276854</v>
      </c>
      <c r="M16" s="17" t="n">
        <v>0.45959595959596</v>
      </c>
      <c r="N16" s="16" t="n">
        <v>1556.66</v>
      </c>
      <c r="O16" s="17" t="n">
        <v>0.79</v>
      </c>
    </row>
    <row r="17" customFormat="false" ht="15" hidden="false" customHeight="false" outlineLevel="0" collapsed="false">
      <c r="A17" s="18" t="n">
        <v>13</v>
      </c>
      <c r="B17" s="18" t="s">
        <v>30</v>
      </c>
      <c r="C17" s="18" t="s">
        <v>68</v>
      </c>
      <c r="D17" s="19" t="n">
        <v>47.0613568915036</v>
      </c>
      <c r="E17" s="20" t="n">
        <v>1.99</v>
      </c>
      <c r="F17" s="21" t="n">
        <v>23.6489230610571</v>
      </c>
      <c r="G17" s="22" t="n">
        <v>29309.4</v>
      </c>
      <c r="H17" s="22" t="n">
        <v>622.791222691913</v>
      </c>
      <c r="I17" s="20" t="n">
        <v>4</v>
      </c>
      <c r="J17" s="20" t="n">
        <v>20</v>
      </c>
      <c r="K17" s="19" t="n">
        <v>21.9666666666667</v>
      </c>
      <c r="L17" s="23" t="n">
        <v>0.0779967159277504</v>
      </c>
      <c r="M17" s="23" t="n">
        <v>0.398989898989899</v>
      </c>
      <c r="N17" s="22" t="n">
        <v>1475</v>
      </c>
      <c r="O17" s="23" t="n">
        <v>0.84</v>
      </c>
    </row>
    <row r="18" customFormat="false" ht="15" hidden="false" customHeight="false" outlineLevel="0" collapsed="false">
      <c r="A18" s="12" t="n">
        <v>14</v>
      </c>
      <c r="B18" s="12" t="s">
        <v>75</v>
      </c>
      <c r="C18" s="12" t="s">
        <v>66</v>
      </c>
      <c r="D18" s="13" t="n">
        <v>47.0391672014862</v>
      </c>
      <c r="E18" s="14" t="n">
        <v>2.37</v>
      </c>
      <c r="F18" s="15" t="n">
        <v>19.8477498740448</v>
      </c>
      <c r="G18" s="16" t="n">
        <v>21561.8</v>
      </c>
      <c r="H18" s="16" t="n">
        <v>458.379713816846</v>
      </c>
      <c r="I18" s="14" t="n">
        <v>10</v>
      </c>
      <c r="J18" s="14" t="n">
        <v>50</v>
      </c>
      <c r="K18" s="13" t="n">
        <v>34.1333333333333</v>
      </c>
      <c r="L18" s="17" t="n">
        <v>0.343671416596815</v>
      </c>
      <c r="M18" s="17" t="n">
        <v>0.404040404040404</v>
      </c>
      <c r="N18" s="16" t="n">
        <v>1483.73</v>
      </c>
      <c r="O18" s="17" t="n">
        <v>0.823333333333333</v>
      </c>
    </row>
    <row r="19" customFormat="false" ht="15" hidden="false" customHeight="false" outlineLevel="0" collapsed="false">
      <c r="A19" s="18" t="n">
        <v>15</v>
      </c>
      <c r="B19" s="18" t="s">
        <v>32</v>
      </c>
      <c r="C19" s="18" t="s">
        <v>68</v>
      </c>
      <c r="D19" s="19" t="n">
        <v>45.9944993120341</v>
      </c>
      <c r="E19" s="20" t="n">
        <v>0.82</v>
      </c>
      <c r="F19" s="21" t="n">
        <v>56.0908528195538</v>
      </c>
      <c r="G19" s="22" t="n">
        <v>4432.7</v>
      </c>
      <c r="H19" s="22" t="n">
        <v>96.3745679657876</v>
      </c>
      <c r="I19" s="20" t="n">
        <v>10</v>
      </c>
      <c r="J19" s="20" t="n">
        <v>50</v>
      </c>
      <c r="K19" s="19" t="n">
        <v>40.55</v>
      </c>
      <c r="L19" s="23" t="n">
        <v>0.530889621087315</v>
      </c>
      <c r="M19" s="23" t="n">
        <v>0.419191919191919</v>
      </c>
      <c r="N19" s="22" t="n">
        <v>1253.1</v>
      </c>
      <c r="O19" s="23" t="n">
        <v>0.8</v>
      </c>
    </row>
    <row r="20" customFormat="false" ht="15" hidden="false" customHeight="false" outlineLevel="0" collapsed="false">
      <c r="A20" s="18" t="n">
        <v>16</v>
      </c>
      <c r="B20" s="18" t="s">
        <v>34</v>
      </c>
      <c r="C20" s="18" t="s">
        <v>68</v>
      </c>
      <c r="D20" s="19" t="n">
        <v>45.1697751115741</v>
      </c>
      <c r="E20" s="20" t="n">
        <v>1.71</v>
      </c>
      <c r="F20" s="21" t="n">
        <v>26.4150731646632</v>
      </c>
      <c r="G20" s="22" t="n">
        <v>7629.7</v>
      </c>
      <c r="H20" s="22" t="n">
        <v>168.911622454481</v>
      </c>
      <c r="I20" s="20" t="n">
        <v>10</v>
      </c>
      <c r="J20" s="20" t="n">
        <v>50</v>
      </c>
      <c r="K20" s="19" t="n">
        <v>26.55</v>
      </c>
      <c r="L20" s="23" t="n">
        <v>0.345720720720721</v>
      </c>
      <c r="M20" s="23" t="n">
        <v>0.505050505050505</v>
      </c>
      <c r="N20" s="22" t="n">
        <v>1471.32</v>
      </c>
      <c r="O20" s="23" t="n">
        <v>0.706666666666667</v>
      </c>
    </row>
    <row r="21" customFormat="false" ht="15" hidden="false" customHeight="false" outlineLevel="0" collapsed="false">
      <c r="A21" s="12" t="n">
        <v>17</v>
      </c>
      <c r="B21" s="12" t="s">
        <v>76</v>
      </c>
      <c r="C21" s="12" t="s">
        <v>66</v>
      </c>
      <c r="D21" s="13" t="n">
        <v>45.0575765420613</v>
      </c>
      <c r="E21" s="14" t="n">
        <v>2.19</v>
      </c>
      <c r="F21" s="15" t="n">
        <v>20.5742358639549</v>
      </c>
      <c r="G21" s="16" t="n">
        <v>28977.4</v>
      </c>
      <c r="H21" s="16" t="n">
        <v>643.119364685528</v>
      </c>
      <c r="I21" s="14" t="n">
        <v>5</v>
      </c>
      <c r="J21" s="14" t="n">
        <v>25</v>
      </c>
      <c r="K21" s="13" t="n">
        <v>31.0166666666667</v>
      </c>
      <c r="L21" s="17" t="n">
        <v>0.393245341614907</v>
      </c>
      <c r="M21" s="17" t="n">
        <v>0.343434343434343</v>
      </c>
      <c r="N21" s="16" t="n">
        <v>1439.04</v>
      </c>
      <c r="O21" s="17" t="n">
        <v>0.82</v>
      </c>
    </row>
    <row r="22" customFormat="false" ht="15" hidden="false" customHeight="false" outlineLevel="0" collapsed="false">
      <c r="A22" s="18" t="n">
        <v>18</v>
      </c>
      <c r="B22" s="18" t="s">
        <v>36</v>
      </c>
      <c r="C22" s="18" t="s">
        <v>68</v>
      </c>
      <c r="D22" s="19" t="n">
        <v>44.138026369169</v>
      </c>
      <c r="E22" s="20" t="n">
        <v>1.18</v>
      </c>
      <c r="F22" s="21" t="n">
        <v>37.4051070925161</v>
      </c>
      <c r="G22" s="22" t="n">
        <v>19576.3</v>
      </c>
      <c r="H22" s="22" t="n">
        <v>443.524588894494</v>
      </c>
      <c r="I22" s="20" t="n">
        <v>4</v>
      </c>
      <c r="J22" s="20" t="n">
        <v>20</v>
      </c>
      <c r="K22" s="19" t="n">
        <v>20.9833333333333</v>
      </c>
      <c r="L22" s="23" t="n">
        <v>0.0813435855928774</v>
      </c>
      <c r="M22" s="23" t="n">
        <v>0.247474747474747</v>
      </c>
      <c r="N22" s="22" t="n">
        <v>1434.68</v>
      </c>
      <c r="O22" s="23" t="n">
        <v>0.823333333333333</v>
      </c>
    </row>
    <row r="23" customFormat="false" ht="15" hidden="false" customHeight="false" outlineLevel="0" collapsed="false">
      <c r="A23" s="18" t="n">
        <v>19</v>
      </c>
      <c r="B23" s="18" t="s">
        <v>37</v>
      </c>
      <c r="C23" s="18" t="s">
        <v>68</v>
      </c>
      <c r="D23" s="19" t="n">
        <v>42.4991760420519</v>
      </c>
      <c r="E23" s="20" t="n">
        <v>0.81</v>
      </c>
      <c r="F23" s="21" t="n">
        <v>52.4681185704344</v>
      </c>
      <c r="G23" s="22" t="n">
        <v>13250</v>
      </c>
      <c r="H23" s="22" t="n">
        <v>311.770750258533</v>
      </c>
      <c r="I23" s="20" t="n">
        <v>4</v>
      </c>
      <c r="J23" s="20" t="n">
        <v>20</v>
      </c>
      <c r="K23" s="19" t="n">
        <v>20.3666666666667</v>
      </c>
      <c r="L23" s="23" t="n">
        <v>0.0880352140856343</v>
      </c>
      <c r="M23" s="23" t="n">
        <v>0.207070707070707</v>
      </c>
      <c r="N23" s="22" t="n">
        <v>1360.88</v>
      </c>
      <c r="O23" s="23" t="n">
        <v>0.816666666666667</v>
      </c>
    </row>
    <row r="24" customFormat="false" ht="15" hidden="false" customHeight="false" outlineLevel="0" collapsed="false">
      <c r="A24" s="18" t="n">
        <v>20</v>
      </c>
      <c r="B24" s="18" t="s">
        <v>38</v>
      </c>
      <c r="C24" s="18" t="s">
        <v>68</v>
      </c>
      <c r="D24" s="19" t="n">
        <v>42.2514998239494</v>
      </c>
      <c r="E24" s="20" t="n">
        <v>1.4</v>
      </c>
      <c r="F24" s="21" t="n">
        <v>30.1796427313924</v>
      </c>
      <c r="G24" s="22" t="n">
        <v>38897.5</v>
      </c>
      <c r="H24" s="22" t="n">
        <v>920.618206740007</v>
      </c>
      <c r="I24" s="20" t="n">
        <v>2</v>
      </c>
      <c r="J24" s="20" t="n">
        <v>12</v>
      </c>
      <c r="K24" s="19" t="n">
        <v>0.05</v>
      </c>
      <c r="L24" s="23" t="n">
        <v>0.121240601503759</v>
      </c>
      <c r="M24" s="23" t="n">
        <v>0.353535353535354</v>
      </c>
      <c r="N24" s="22" t="n">
        <v>1330</v>
      </c>
      <c r="O24" s="23" t="n">
        <v>0.83</v>
      </c>
    </row>
    <row r="25" customFormat="false" ht="15" hidden="false" customHeight="false" outlineLevel="0" collapsed="false">
      <c r="A25" s="12" t="n">
        <v>21</v>
      </c>
      <c r="B25" s="12" t="s">
        <v>77</v>
      </c>
      <c r="C25" s="12" t="s">
        <v>66</v>
      </c>
      <c r="D25" s="13" t="n">
        <v>41.9915603794639</v>
      </c>
      <c r="E25" s="14" t="n">
        <v>4.08</v>
      </c>
      <c r="F25" s="15" t="n">
        <v>10.2920491126137</v>
      </c>
      <c r="G25" s="16" t="n">
        <v>70549.7</v>
      </c>
      <c r="H25" s="16" t="n">
        <v>1680.0923652864</v>
      </c>
      <c r="I25" s="14" t="n">
        <v>5</v>
      </c>
      <c r="J25" s="14" t="n">
        <v>25</v>
      </c>
      <c r="K25" s="13" t="n">
        <v>28.75</v>
      </c>
      <c r="L25" s="17" t="n">
        <v>0.607491856677525</v>
      </c>
      <c r="M25" s="17" t="n">
        <v>0.217171717171717</v>
      </c>
      <c r="N25" s="16" t="n">
        <v>1315.95</v>
      </c>
      <c r="O25" s="17" t="n">
        <v>0.776666666666667</v>
      </c>
    </row>
    <row r="26" customFormat="false" ht="15" hidden="false" customHeight="false" outlineLevel="0" collapsed="false">
      <c r="A26" s="12" t="n">
        <v>22</v>
      </c>
      <c r="B26" s="12" t="s">
        <v>78</v>
      </c>
      <c r="C26" s="12" t="s">
        <v>66</v>
      </c>
      <c r="D26" s="13" t="n">
        <v>39.7883357992936</v>
      </c>
      <c r="E26" s="14" t="n">
        <v>1.1</v>
      </c>
      <c r="F26" s="15" t="n">
        <v>36.1712143629942</v>
      </c>
      <c r="G26" s="16" t="n">
        <v>14668</v>
      </c>
      <c r="H26" s="16" t="n">
        <v>368.650754180586</v>
      </c>
      <c r="I26" s="14" t="n">
        <v>5</v>
      </c>
      <c r="J26" s="14" t="n">
        <v>25</v>
      </c>
      <c r="K26" s="13" t="n">
        <v>28.55</v>
      </c>
      <c r="L26" s="17" t="n">
        <v>0.377979568671964</v>
      </c>
      <c r="M26" s="17" t="n">
        <v>0.262626262626263</v>
      </c>
      <c r="N26" s="16" t="n">
        <v>1215.73</v>
      </c>
      <c r="O26" s="17" t="n">
        <v>0.813333333333333</v>
      </c>
    </row>
    <row r="27" customFormat="false" ht="15" hidden="false" customHeight="false" outlineLevel="0" collapsed="false">
      <c r="A27" s="18" t="n">
        <v>23</v>
      </c>
      <c r="B27" s="18" t="s">
        <v>40</v>
      </c>
      <c r="C27" s="18" t="s">
        <v>68</v>
      </c>
      <c r="D27" s="19" t="n">
        <v>39.4845585889147</v>
      </c>
      <c r="E27" s="20" t="n">
        <v>0.5</v>
      </c>
      <c r="F27" s="21" t="n">
        <v>78.9691171778294</v>
      </c>
      <c r="G27" s="22" t="n">
        <v>7874</v>
      </c>
      <c r="H27" s="22" t="n">
        <v>199.419729671503</v>
      </c>
      <c r="I27" s="20" t="n">
        <v>4</v>
      </c>
      <c r="J27" s="20" t="n">
        <v>20</v>
      </c>
      <c r="K27" s="19" t="n">
        <v>19.4</v>
      </c>
      <c r="L27" s="23" t="n">
        <v>0.0923076923076923</v>
      </c>
      <c r="M27" s="23" t="n">
        <v>0.146464646464646</v>
      </c>
      <c r="N27" s="22" t="n">
        <v>1240.36</v>
      </c>
      <c r="O27" s="23" t="n">
        <v>0.803333333333333</v>
      </c>
    </row>
    <row r="28" customFormat="false" ht="15" hidden="false" customHeight="false" outlineLevel="0" collapsed="false">
      <c r="A28" s="12" t="n">
        <v>24</v>
      </c>
      <c r="B28" s="12" t="s">
        <v>79</v>
      </c>
      <c r="C28" s="12" t="s">
        <v>66</v>
      </c>
      <c r="D28" s="13" t="n">
        <v>38.3576962882576</v>
      </c>
      <c r="E28" s="14" t="n">
        <v>5.09</v>
      </c>
      <c r="F28" s="15" t="n">
        <v>7.53589318040424</v>
      </c>
      <c r="G28" s="16" t="n">
        <v>117787.3</v>
      </c>
      <c r="H28" s="16" t="n">
        <v>3070.76053563879</v>
      </c>
      <c r="I28" s="14" t="n">
        <v>2</v>
      </c>
      <c r="J28" s="14" t="n">
        <v>10</v>
      </c>
      <c r="K28" s="13" t="n">
        <v>16.45</v>
      </c>
      <c r="L28" s="17" t="n">
        <v>0.606338615512927</v>
      </c>
      <c r="M28" s="17" t="n">
        <v>0.141414141414141</v>
      </c>
      <c r="N28" s="16" t="n">
        <v>1355.19</v>
      </c>
      <c r="O28" s="17" t="n">
        <v>0.82</v>
      </c>
    </row>
    <row r="29" customFormat="false" ht="15" hidden="false" customHeight="false" outlineLevel="0" collapsed="false">
      <c r="A29" s="18" t="n">
        <v>25</v>
      </c>
      <c r="B29" s="18" t="s">
        <v>41</v>
      </c>
      <c r="C29" s="18" t="s">
        <v>68</v>
      </c>
      <c r="D29" s="19" t="n">
        <v>38.1856370742927</v>
      </c>
      <c r="E29" s="20" t="n">
        <v>0.63</v>
      </c>
      <c r="F29" s="21" t="n">
        <v>60.6121223401472</v>
      </c>
      <c r="G29" s="22" t="n">
        <v>20367.3</v>
      </c>
      <c r="H29" s="22" t="n">
        <v>533.375938193045</v>
      </c>
      <c r="I29" s="20" t="n">
        <v>2</v>
      </c>
      <c r="J29" s="20" t="n">
        <v>12</v>
      </c>
      <c r="K29" s="19" t="n">
        <v>-2.98333333333333</v>
      </c>
      <c r="L29" s="23" t="n">
        <v>0.109819516671765</v>
      </c>
      <c r="M29" s="23" t="n">
        <v>0.101010101010101</v>
      </c>
      <c r="N29" s="22" t="n">
        <v>1337.28</v>
      </c>
      <c r="O29" s="23" t="n">
        <v>0.79</v>
      </c>
    </row>
    <row r="30" customFormat="false" ht="15" hidden="false" customHeight="false" outlineLevel="0" collapsed="false">
      <c r="A30" s="18" t="n">
        <v>26</v>
      </c>
      <c r="B30" s="18" t="s">
        <v>42</v>
      </c>
      <c r="C30" s="18" t="s">
        <v>68</v>
      </c>
      <c r="D30" s="19" t="n">
        <v>37.5048489690841</v>
      </c>
      <c r="E30" s="20" t="n">
        <v>0.18</v>
      </c>
      <c r="F30" s="21" t="n">
        <v>208.360272050467</v>
      </c>
      <c r="G30" s="22" t="n">
        <v>41234.6</v>
      </c>
      <c r="H30" s="22" t="n">
        <v>1099.44716839122</v>
      </c>
      <c r="I30" s="20" t="n">
        <v>0.2</v>
      </c>
      <c r="J30" s="20" t="n">
        <v>1.2</v>
      </c>
      <c r="K30" s="19" t="n">
        <v>-10.2833333333333</v>
      </c>
      <c r="L30" s="23" t="n">
        <v>0.0742142025611176</v>
      </c>
      <c r="M30" s="23" t="n">
        <v>0.116161616161616</v>
      </c>
      <c r="N30" s="22" t="n">
        <v>1339.38</v>
      </c>
      <c r="O30" s="23" t="n">
        <v>0.836666666666667</v>
      </c>
    </row>
    <row r="31" customFormat="false" ht="15" hidden="false" customHeight="false" outlineLevel="0" collapsed="false">
      <c r="A31" s="18" t="n">
        <v>27</v>
      </c>
      <c r="B31" s="18" t="s">
        <v>44</v>
      </c>
      <c r="C31" s="18" t="s">
        <v>68</v>
      </c>
      <c r="D31" s="19" t="n">
        <v>34.772048822309</v>
      </c>
      <c r="E31" s="20" t="n">
        <v>0.09</v>
      </c>
      <c r="F31" s="21" t="n">
        <v>386.356098025656</v>
      </c>
      <c r="G31" s="22" t="n">
        <v>23624.5</v>
      </c>
      <c r="H31" s="22" t="n">
        <v>679.410641596794</v>
      </c>
      <c r="I31" s="20" t="n">
        <v>0.2</v>
      </c>
      <c r="J31" s="20" t="n">
        <v>1.2</v>
      </c>
      <c r="K31" s="19" t="n">
        <v>-10.7666666666667</v>
      </c>
      <c r="L31" s="23" t="n">
        <v>0.0752968433246453</v>
      </c>
      <c r="M31" s="23" t="n">
        <v>0.0353535353535354</v>
      </c>
      <c r="N31" s="22" t="n">
        <v>1268.01</v>
      </c>
      <c r="O31" s="23" t="n">
        <v>0.816666666666667</v>
      </c>
    </row>
    <row r="32" customFormat="false" ht="15" hidden="false" customHeight="false" outlineLevel="0" collapsed="false">
      <c r="A32" s="18" t="n">
        <v>28</v>
      </c>
      <c r="B32" s="18" t="s">
        <v>45</v>
      </c>
      <c r="C32" s="18" t="s">
        <v>68</v>
      </c>
      <c r="D32" s="19" t="n">
        <v>34.4910058067555</v>
      </c>
      <c r="E32" s="20" t="n">
        <v>0.34</v>
      </c>
      <c r="F32" s="21" t="n">
        <v>101.444134725752</v>
      </c>
      <c r="G32" s="22" t="n">
        <v>11293.7</v>
      </c>
      <c r="H32" s="22" t="n">
        <v>327.438986942735</v>
      </c>
      <c r="I32" s="20" t="n">
        <v>2</v>
      </c>
      <c r="J32" s="20" t="n">
        <v>12</v>
      </c>
      <c r="K32" s="19" t="n">
        <v>-3.46666666666667</v>
      </c>
      <c r="L32" s="23" t="n">
        <v>0.1021094466524</v>
      </c>
      <c r="M32" s="23" t="n">
        <v>0.0151515151515152</v>
      </c>
      <c r="N32" s="22" t="n">
        <v>1201.36</v>
      </c>
      <c r="O32" s="23" t="n">
        <v>0.776666666666667</v>
      </c>
    </row>
    <row r="33" customFormat="false" ht="15" hidden="false" customHeight="false" outlineLevel="0" collapsed="false">
      <c r="A33" s="18" t="n">
        <v>29</v>
      </c>
      <c r="B33" s="18" t="s">
        <v>46</v>
      </c>
      <c r="C33" s="18" t="s">
        <v>68</v>
      </c>
      <c r="D33" s="19" t="n">
        <v>33.7979387646002</v>
      </c>
      <c r="E33" s="20" t="n">
        <v>0.26</v>
      </c>
      <c r="F33" s="21" t="n">
        <v>129.992072171539</v>
      </c>
      <c r="G33" s="22" t="n">
        <v>3974.4</v>
      </c>
      <c r="H33" s="22" t="n">
        <v>117.592970023449</v>
      </c>
      <c r="I33" s="20" t="n">
        <v>4</v>
      </c>
      <c r="J33" s="20" t="n">
        <v>20</v>
      </c>
      <c r="K33" s="19" t="n">
        <v>18.8666666666667</v>
      </c>
      <c r="L33" s="23" t="n">
        <v>0.105836575875486</v>
      </c>
      <c r="M33" s="23" t="n">
        <v>0.0101010101010101</v>
      </c>
      <c r="N33" s="22" t="n">
        <v>1042.06</v>
      </c>
      <c r="O33" s="23" t="n">
        <v>0.78</v>
      </c>
    </row>
    <row r="34" customFormat="false" ht="15" hidden="false" customHeight="false" outlineLevel="0" collapsed="false">
      <c r="A34" s="18" t="n">
        <v>30</v>
      </c>
      <c r="B34" s="18" t="s">
        <v>47</v>
      </c>
      <c r="C34" s="18" t="s">
        <v>68</v>
      </c>
      <c r="D34" s="19" t="n">
        <v>32.9059788719235</v>
      </c>
      <c r="E34" s="18"/>
      <c r="F34" s="18"/>
      <c r="G34" s="18"/>
      <c r="H34" s="18"/>
      <c r="I34" s="20" t="n">
        <v>0.2</v>
      </c>
      <c r="J34" s="20" t="n">
        <v>1.2</v>
      </c>
      <c r="K34" s="19" t="n">
        <v>-12</v>
      </c>
      <c r="L34" s="23" t="n">
        <v>0.0761523046092184</v>
      </c>
      <c r="M34" s="23" t="n">
        <v>0.0252525252525253</v>
      </c>
      <c r="N34" s="22" t="n">
        <v>1172.84</v>
      </c>
      <c r="O34" s="23" t="n">
        <v>0.803333333333333</v>
      </c>
    </row>
    <row r="35" customFormat="false" ht="15" hidden="false" customHeight="false" outlineLevel="0" collapsed="false">
      <c r="A35" s="18" t="n">
        <v>31</v>
      </c>
      <c r="B35" s="18" t="s">
        <v>48</v>
      </c>
      <c r="C35" s="18" t="s">
        <v>68</v>
      </c>
      <c r="D35" s="19" t="n">
        <v>32.7587708276955</v>
      </c>
      <c r="E35" s="18"/>
      <c r="F35" s="18"/>
      <c r="G35" s="18"/>
      <c r="H35" s="18"/>
      <c r="I35" s="20" t="n">
        <v>2</v>
      </c>
      <c r="J35" s="20" t="n">
        <v>12</v>
      </c>
      <c r="K35" s="19" t="n">
        <v>-5.13333333333333</v>
      </c>
      <c r="L35" s="23" t="n">
        <v>0.102286401925391</v>
      </c>
      <c r="M35" s="23" t="n">
        <v>0.0101010101010101</v>
      </c>
      <c r="N35" s="22" t="n">
        <v>1041.14</v>
      </c>
      <c r="O35" s="23" t="n">
        <v>0.74</v>
      </c>
    </row>
    <row r="36" customFormat="false" ht="15" hidden="false" customHeight="false" outlineLevel="0" collapsed="false">
      <c r="A36" s="12" t="n">
        <v>32</v>
      </c>
      <c r="B36" s="12" t="s">
        <v>80</v>
      </c>
      <c r="C36" s="12" t="s">
        <v>66</v>
      </c>
      <c r="D36" s="13" t="n">
        <v>28.9377045284576</v>
      </c>
      <c r="E36" s="12"/>
      <c r="F36" s="12"/>
      <c r="G36" s="12"/>
      <c r="H36" s="12"/>
      <c r="I36" s="14" t="n">
        <v>2</v>
      </c>
      <c r="J36" s="14" t="n">
        <v>10</v>
      </c>
      <c r="K36" s="13" t="n">
        <v>-0.65</v>
      </c>
      <c r="L36" s="17" t="n">
        <v>0.479607250755287</v>
      </c>
      <c r="M36" s="12"/>
      <c r="N36" s="12"/>
      <c r="O36" s="17" t="n">
        <v>0.7</v>
      </c>
    </row>
    <row r="37" customFormat="false" ht="15" hidden="false" customHeight="false" outlineLevel="0" collapsed="false">
      <c r="A37" s="12" t="n">
        <v>33</v>
      </c>
      <c r="B37" s="12" t="s">
        <v>81</v>
      </c>
      <c r="C37" s="12" t="s">
        <v>66</v>
      </c>
      <c r="D37" s="13" t="n">
        <v>28.4376468379456</v>
      </c>
      <c r="E37" s="14" t="n">
        <v>1</v>
      </c>
      <c r="F37" s="15" t="n">
        <v>28.4376468379456</v>
      </c>
      <c r="G37" s="16" t="n">
        <v>27337.1</v>
      </c>
      <c r="H37" s="16" t="n">
        <v>961.299651682955</v>
      </c>
      <c r="I37" s="14" t="n">
        <v>2</v>
      </c>
      <c r="J37" s="14" t="n">
        <v>10</v>
      </c>
      <c r="K37" s="13" t="n">
        <v>-6.86666666666667</v>
      </c>
      <c r="L37" s="17" t="n">
        <v>0.301006889242183</v>
      </c>
      <c r="M37" s="17" t="n">
        <v>0.0202020202020202</v>
      </c>
      <c r="N37" s="16" t="n">
        <v>1053.88</v>
      </c>
      <c r="O37" s="17" t="n">
        <v>0.736666666666667</v>
      </c>
    </row>
    <row r="38" customFormat="false" ht="15" hidden="false" customHeight="false" outlineLevel="0" collapsed="false">
      <c r="A38" s="18" t="n">
        <v>34</v>
      </c>
      <c r="B38" s="18" t="s">
        <v>49</v>
      </c>
      <c r="C38" s="18" t="s">
        <v>68</v>
      </c>
      <c r="D38" s="19" t="n">
        <v>27.8765112356137</v>
      </c>
      <c r="E38" s="18"/>
      <c r="F38" s="18"/>
      <c r="G38" s="18"/>
      <c r="H38" s="18"/>
      <c r="I38" s="20" t="n">
        <v>2</v>
      </c>
      <c r="J38" s="20" t="n">
        <v>12</v>
      </c>
      <c r="K38" s="19" t="n">
        <v>-6.83333333333333</v>
      </c>
      <c r="L38" s="23" t="n">
        <v>0.101303317535545</v>
      </c>
      <c r="M38" s="23" t="n">
        <v>0.0151515151515152</v>
      </c>
      <c r="N38" s="22" t="n">
        <v>1014.18</v>
      </c>
      <c r="O38" s="23" t="n">
        <v>0.713333333333333</v>
      </c>
    </row>
    <row r="39" customFormat="false" ht="15" hidden="false" customHeight="false" outlineLevel="0" collapsed="false">
      <c r="A39" s="18" t="n">
        <v>35</v>
      </c>
      <c r="B39" s="18" t="s">
        <v>50</v>
      </c>
      <c r="C39" s="18" t="s">
        <v>68</v>
      </c>
      <c r="D39" s="19" t="n">
        <v>25.7828734221316</v>
      </c>
      <c r="E39" s="18"/>
      <c r="F39" s="18"/>
      <c r="G39" s="18"/>
      <c r="H39" s="18"/>
      <c r="I39" s="20" t="n">
        <v>0.2</v>
      </c>
      <c r="J39" s="20" t="n">
        <v>1.2</v>
      </c>
      <c r="K39" s="19" t="n">
        <v>-13.1833333333333</v>
      </c>
      <c r="L39" s="23" t="n">
        <v>0.0913434513771781</v>
      </c>
      <c r="M39" s="23" t="n">
        <v>0.00505050505050505</v>
      </c>
      <c r="N39" s="22" t="n">
        <v>933.37</v>
      </c>
      <c r="O39" s="23" t="n">
        <v>0.75</v>
      </c>
    </row>
    <row r="40" customFormat="false" ht="15" hidden="false" customHeight="false" outlineLevel="0" collapsed="false">
      <c r="A40" s="12" t="n">
        <v>36</v>
      </c>
      <c r="B40" s="12" t="s">
        <v>82</v>
      </c>
      <c r="C40" s="12" t="s">
        <v>66</v>
      </c>
      <c r="D40" s="13" t="n">
        <v>24.7426143579597</v>
      </c>
      <c r="E40" s="14" t="n">
        <v>0.51</v>
      </c>
      <c r="F40" s="15" t="n">
        <v>48.5149301136465</v>
      </c>
      <c r="G40" s="16" t="n">
        <v>15168.4</v>
      </c>
      <c r="H40" s="16" t="n">
        <v>613.047585859508</v>
      </c>
      <c r="I40" s="14" t="n">
        <v>2</v>
      </c>
      <c r="J40" s="14" t="n">
        <v>10</v>
      </c>
      <c r="K40" s="13" t="n">
        <v>-8.23333333333333</v>
      </c>
      <c r="L40" s="17" t="n">
        <v>0.272412875764831</v>
      </c>
      <c r="M40" s="17" t="n">
        <v>0.0252525252525253</v>
      </c>
      <c r="N40" s="16" t="n">
        <v>927.41</v>
      </c>
      <c r="O40" s="17" t="n">
        <v>0.673333333333333</v>
      </c>
    </row>
    <row r="41" customFormat="false" ht="15" hidden="false" customHeight="false" outlineLevel="0" collapsed="false">
      <c r="A41" s="18" t="n">
        <v>37</v>
      </c>
      <c r="B41" s="18" t="s">
        <v>51</v>
      </c>
      <c r="C41" s="18" t="s">
        <v>68</v>
      </c>
      <c r="D41" s="19" t="n">
        <v>22.3001011790774</v>
      </c>
      <c r="E41" s="18"/>
      <c r="F41" s="18"/>
      <c r="G41" s="18"/>
      <c r="H41" s="18"/>
      <c r="I41" s="20" t="n">
        <v>2</v>
      </c>
      <c r="J41" s="20" t="n">
        <v>12</v>
      </c>
      <c r="K41" s="19" t="n">
        <v>-23.2166666666667</v>
      </c>
      <c r="L41" s="23" t="n">
        <v>0.0498549195462938</v>
      </c>
      <c r="M41" s="18"/>
      <c r="N41" s="22" t="n">
        <v>946.69</v>
      </c>
      <c r="O41" s="23" t="n">
        <v>0.586666666666667</v>
      </c>
    </row>
    <row r="42" customFormat="false" ht="15" hidden="false" customHeight="false" outlineLevel="0" collapsed="false">
      <c r="A42" s="18" t="n">
        <v>38</v>
      </c>
      <c r="B42" s="18" t="s">
        <v>52</v>
      </c>
      <c r="C42" s="18" t="s">
        <v>68</v>
      </c>
      <c r="D42" s="19" t="n">
        <v>21.834227046588</v>
      </c>
      <c r="E42" s="18"/>
      <c r="F42" s="18"/>
      <c r="G42" s="18"/>
      <c r="H42" s="18"/>
      <c r="I42" s="20" t="n">
        <v>0.2</v>
      </c>
      <c r="J42" s="20" t="n">
        <v>1.2</v>
      </c>
      <c r="K42" s="19" t="n">
        <v>-14.65</v>
      </c>
      <c r="L42" s="23" t="n">
        <v>0.101297267457908</v>
      </c>
      <c r="M42" s="23" t="n">
        <v>0</v>
      </c>
      <c r="N42" s="22" t="n">
        <v>742.04</v>
      </c>
      <c r="O42" s="23" t="n">
        <v>0.7</v>
      </c>
    </row>
    <row r="44" customFormat="false" ht="15" hidden="false" customHeight="false" outlineLevel="0" collapsed="false">
      <c r="A44" s="2" t="s">
        <v>83</v>
      </c>
    </row>
    <row r="45" customFormat="false" ht="15" hidden="false" customHeight="false" outlineLevel="0" collapsed="false">
      <c r="A45" s="2" t="s">
        <v>84</v>
      </c>
    </row>
    <row r="46" customFormat="false" ht="15" hidden="false" customHeight="false" outlineLevel="0" collapsed="false">
      <c r="A46" s="2" t="s">
        <v>85</v>
      </c>
    </row>
  </sheetData>
  <autoFilter ref="A4:O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7" min="5" style="0" width="14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7"/>
    <col collapsed="false" customWidth="true" hidden="false" outlineLevel="0" max="13" min="13" style="0" width="28"/>
    <col collapsed="false" customWidth="true" hidden="false" outlineLevel="0" max="14" min="14" style="0" width="10"/>
  </cols>
  <sheetData>
    <row r="1" customFormat="false" ht="16.15" hidden="false" customHeight="false" outlineLevel="0" collapsed="false">
      <c r="A1" s="1" t="s">
        <v>86</v>
      </c>
      <c r="M1" s="24" t="s">
        <v>87</v>
      </c>
    </row>
    <row r="2" customFormat="false" ht="15" hidden="false" customHeight="false" outlineLevel="0" collapsed="false">
      <c r="A2" s="2" t="s">
        <v>88</v>
      </c>
      <c r="M2" s="25" t="s">
        <v>89</v>
      </c>
      <c r="N2" s="26" t="n">
        <f aca="false">MAX($B$5:$B$26)</f>
        <v>52.814069395513</v>
      </c>
    </row>
    <row r="3" customFormat="false" ht="15" hidden="false" customHeight="false" outlineLevel="0" collapsed="false">
      <c r="M3" s="25" t="s">
        <v>90</v>
      </c>
      <c r="N3" s="27" t="n">
        <f aca="false">_xlfn.MINIFS($C$5:$C$26,$C$5:$C$26,"&gt;0")</f>
        <v>0.09</v>
      </c>
    </row>
    <row r="4" customFormat="false" ht="39.75" hidden="false" customHeight="true" outlineLevel="0" collapsed="false">
      <c r="A4" s="3" t="s">
        <v>2</v>
      </c>
      <c r="B4" s="3" t="s">
        <v>5</v>
      </c>
      <c r="C4" s="3" t="s">
        <v>6</v>
      </c>
      <c r="D4" s="3" t="s">
        <v>59</v>
      </c>
      <c r="E4" s="3" t="s">
        <v>91</v>
      </c>
      <c r="F4" s="3" t="s">
        <v>7</v>
      </c>
      <c r="G4" s="3" t="s">
        <v>60</v>
      </c>
      <c r="H4" s="3" t="s">
        <v>92</v>
      </c>
      <c r="I4" s="3" t="s">
        <v>93</v>
      </c>
      <c r="J4" s="3" t="s">
        <v>94</v>
      </c>
      <c r="K4" s="3" t="s">
        <v>95</v>
      </c>
      <c r="M4" s="25" t="s">
        <v>96</v>
      </c>
      <c r="N4" s="26" t="n">
        <f aca="false">INDEX($B$5:$B$26,MATCH($N$3,$C$5:$C$26,0))</f>
        <v>34.772048822309</v>
      </c>
    </row>
    <row r="5" customFormat="false" ht="15" hidden="false" customHeight="false" outlineLevel="0" collapsed="false">
      <c r="A5" s="4" t="str">
        <f aca="false">'Model Data'!A5</f>
        <v>GPT-6 Astra (max)</v>
      </c>
      <c r="B5" s="5" t="n">
        <f aca="false">IF('Model Data'!D5="","",'Model Data'!D5)</f>
        <v>52.814069395513</v>
      </c>
      <c r="C5" s="6" t="n">
        <f aca="false">IF('Model Data'!E5="","",'Model Data'!E5)</f>
        <v>3.26</v>
      </c>
      <c r="D5" s="9" t="n">
        <f aca="false">IFERROR(B5/C5,"")</f>
        <v>16.2006347838997</v>
      </c>
      <c r="E5" s="28" t="n">
        <f aca="false">IFERROR(C5/B5,"")</f>
        <v>0.0617259763792594</v>
      </c>
      <c r="F5" s="7" t="n">
        <f aca="false">IF('Model Data'!F5="","",'Model Data'!F5)</f>
        <v>27205.5</v>
      </c>
      <c r="G5" s="7" t="n">
        <f aca="false">IFERROR(F5/B5,"")</f>
        <v>515.118420363785</v>
      </c>
      <c r="H5" s="28" t="n">
        <f aca="false">IFERROR(C5/F5*1000,"")</f>
        <v>0.11982871110621</v>
      </c>
      <c r="I5" s="29" t="n">
        <f aca="false">IFERROR(C5/$N$3,"")</f>
        <v>36.2222222222222</v>
      </c>
      <c r="J5" s="5" t="n">
        <f aca="false">IFERROR($N$2-B5,"")</f>
        <v>0</v>
      </c>
      <c r="K5" s="6" t="n">
        <f aca="false">IF(OR(C5="",B5-$N$4&lt;=0),"",(C5-$N$3)/(B5-$N$4))</f>
        <v>0.17570094142937</v>
      </c>
    </row>
    <row r="6" customFormat="false" ht="15" hidden="false" customHeight="false" outlineLevel="0" collapsed="false">
      <c r="A6" s="4" t="str">
        <f aca="false">'Model Data'!A6</f>
        <v>GPT-6 Astra (xhigh)</v>
      </c>
      <c r="B6" s="5" t="n">
        <f aca="false">IF('Model Data'!D6="","",'Model Data'!D6)</f>
        <v>52.5059027108782</v>
      </c>
      <c r="C6" s="6" t="n">
        <f aca="false">IF('Model Data'!E6="","",'Model Data'!E6)</f>
        <v>2.31</v>
      </c>
      <c r="D6" s="9" t="n">
        <f aca="false">IFERROR(B6/C6,"")</f>
        <v>22.7298280133672</v>
      </c>
      <c r="E6" s="28" t="n">
        <f aca="false">IFERROR(C6/B6,"")</f>
        <v>0.0439950535222664</v>
      </c>
      <c r="F6" s="7" t="n">
        <f aca="false">IF('Model Data'!F6="","",'Model Data'!F6)</f>
        <v>16901.2</v>
      </c>
      <c r="G6" s="7" t="n">
        <f aca="false">IFERROR(F6/B6,"")</f>
        <v>321.891427961268</v>
      </c>
      <c r="H6" s="28" t="n">
        <f aca="false">IFERROR(C6/F6*1000,"")</f>
        <v>0.136676685679123</v>
      </c>
      <c r="I6" s="29" t="n">
        <f aca="false">IFERROR(C6/$N$3,"")</f>
        <v>25.6666666666667</v>
      </c>
      <c r="J6" s="5" t="n">
        <f aca="false">IFERROR($N$2-B6,"")</f>
        <v>0.308166684634799</v>
      </c>
      <c r="K6" s="6" t="n">
        <f aca="false">IF(OR(C6="",B6-$N$4&lt;=0),"",(C6-$N$3)/(B6-$N$4))</f>
        <v>0.125184295187577</v>
      </c>
    </row>
    <row r="7" customFormat="false" ht="15" hidden="false" customHeight="false" outlineLevel="0" collapsed="false">
      <c r="A7" s="4" t="str">
        <f aca="false">'Model Data'!A7</f>
        <v>GPT-6 Astra (high)</v>
      </c>
      <c r="B7" s="5" t="n">
        <f aca="false">IF('Model Data'!D7="","",'Model Data'!D7)</f>
        <v>51.0480721636152</v>
      </c>
      <c r="C7" s="6" t="n">
        <f aca="false">IF('Model Data'!E7="","",'Model Data'!E7)</f>
        <v>1.72</v>
      </c>
      <c r="D7" s="9" t="n">
        <f aca="false">IFERROR(B7/C7,"")</f>
        <v>29.6791117230321</v>
      </c>
      <c r="E7" s="28" t="n">
        <f aca="false">IFERROR(C7/B7,"")</f>
        <v>0.0336937307737537</v>
      </c>
      <c r="F7" s="7" t="n">
        <f aca="false">IF('Model Data'!F7="","",'Model Data'!F7)</f>
        <v>11794.9</v>
      </c>
      <c r="G7" s="7" t="n">
        <f aca="false">IFERROR(F7/B7,"")</f>
        <v>231.054758781016</v>
      </c>
      <c r="H7" s="28" t="n">
        <f aca="false">IFERROR(C7/F7*1000,"")</f>
        <v>0.1458257382428</v>
      </c>
      <c r="I7" s="29" t="n">
        <f aca="false">IFERROR(C7/$N$3,"")</f>
        <v>19.1111111111111</v>
      </c>
      <c r="J7" s="5" t="n">
        <f aca="false">IFERROR($N$2-B7,"")</f>
        <v>1.7659972318978</v>
      </c>
      <c r="K7" s="6" t="n">
        <f aca="false">IF(OR(C7="",B7-$N$4&lt;=0),"",(C7-$N$3)/(B7-$N$4))</f>
        <v>0.100147312756876</v>
      </c>
    </row>
    <row r="8" customFormat="false" ht="15" hidden="false" customHeight="false" outlineLevel="0" collapsed="false">
      <c r="A8" s="4" t="str">
        <f aca="false">'Model Data'!A8</f>
        <v>GPT-6 Astra (medium)</v>
      </c>
      <c r="B8" s="5" t="n">
        <f aca="false">IF('Model Data'!D8="","",'Model Data'!D8)</f>
        <v>49.6685363034369</v>
      </c>
      <c r="C8" s="6" t="n">
        <f aca="false">IF('Model Data'!E8="","",'Model Data'!E8)</f>
        <v>1.54</v>
      </c>
      <c r="D8" s="9" t="n">
        <f aca="false">IFERROR(B8/C8,"")</f>
        <v>32.2522963009331</v>
      </c>
      <c r="E8" s="28" t="n">
        <f aca="false">IFERROR(C8/B8,"")</f>
        <v>0.0310055442461959</v>
      </c>
      <c r="F8" s="7" t="n">
        <f aca="false">IF('Model Data'!F8="","",'Model Data'!F8)</f>
        <v>9589.6</v>
      </c>
      <c r="G8" s="7" t="n">
        <f aca="false">IFERROR(F8/B8,"")</f>
        <v>193.071926690468</v>
      </c>
      <c r="H8" s="28" t="n">
        <f aca="false">IFERROR(C8/F8*1000,"")</f>
        <v>0.160590639859848</v>
      </c>
      <c r="I8" s="29" t="n">
        <f aca="false">IFERROR(C8/$N$3,"")</f>
        <v>17.1111111111111</v>
      </c>
      <c r="J8" s="5" t="n">
        <f aca="false">IFERROR($N$2-B8,"")</f>
        <v>3.1455330920761</v>
      </c>
      <c r="K8" s="6" t="n">
        <f aca="false">IF(OR(C8="",B8-$N$4&lt;=0),"",(C8-$N$3)/(B8-$N$4))</f>
        <v>0.0973383827453942</v>
      </c>
    </row>
    <row r="9" customFormat="false" ht="15" hidden="false" customHeight="false" outlineLevel="0" collapsed="false">
      <c r="A9" s="4" t="str">
        <f aca="false">'Model Data'!A9</f>
        <v>GPT-5.6 Sol (max)</v>
      </c>
      <c r="B9" s="5" t="n">
        <f aca="false">IF('Model Data'!D9="","",'Model Data'!D9)</f>
        <v>47.0613568915036</v>
      </c>
      <c r="C9" s="6" t="n">
        <f aca="false">IF('Model Data'!E9="","",'Model Data'!E9)</f>
        <v>1.99</v>
      </c>
      <c r="D9" s="9" t="n">
        <f aca="false">IFERROR(B9/C9,"")</f>
        <v>23.6489230610571</v>
      </c>
      <c r="E9" s="28" t="n">
        <f aca="false">IFERROR(C9/B9,"")</f>
        <v>0.0422852236196205</v>
      </c>
      <c r="F9" s="7" t="n">
        <f aca="false">IF('Model Data'!F9="","",'Model Data'!F9)</f>
        <v>29309.4</v>
      </c>
      <c r="G9" s="7" t="n">
        <f aca="false">IFERROR(F9/B9,"")</f>
        <v>622.791222691913</v>
      </c>
      <c r="H9" s="28" t="n">
        <f aca="false">IFERROR(C9/F9*1000,"")</f>
        <v>0.067896306304462</v>
      </c>
      <c r="I9" s="29" t="n">
        <f aca="false">IFERROR(C9/$N$3,"")</f>
        <v>22.1111111111111</v>
      </c>
      <c r="J9" s="5" t="n">
        <f aca="false">IFERROR($N$2-B9,"")</f>
        <v>5.7527125040094</v>
      </c>
      <c r="K9" s="6" t="n">
        <f aca="false">IF(OR(C9="",B9-$N$4&lt;=0),"",(C9-$N$3)/(B9-$N$4))</f>
        <v>0.154605937885364</v>
      </c>
    </row>
    <row r="10" customFormat="false" ht="15" hidden="false" customHeight="false" outlineLevel="0" collapsed="false">
      <c r="A10" s="4" t="str">
        <f aca="false">'Model Data'!A10</f>
        <v>GPT-6 Astra (low)</v>
      </c>
      <c r="B10" s="5" t="n">
        <f aca="false">IF('Model Data'!D10="","",'Model Data'!D10)</f>
        <v>45.9944993120341</v>
      </c>
      <c r="C10" s="6" t="n">
        <f aca="false">IF('Model Data'!E10="","",'Model Data'!E10)</f>
        <v>0.82</v>
      </c>
      <c r="D10" s="9" t="n">
        <f aca="false">IFERROR(B10/C10,"")</f>
        <v>56.0908528195538</v>
      </c>
      <c r="E10" s="28" t="n">
        <f aca="false">IFERROR(C10/B10,"")</f>
        <v>0.0178282188580201</v>
      </c>
      <c r="F10" s="7" t="n">
        <f aca="false">IF('Model Data'!F10="","",'Model Data'!F10)</f>
        <v>4432.7</v>
      </c>
      <c r="G10" s="7" t="n">
        <f aca="false">IFERROR(F10/B10,"")</f>
        <v>96.3745679657876</v>
      </c>
      <c r="H10" s="28" t="n">
        <f aca="false">IFERROR(C10/F10*1000,"")</f>
        <v>0.184988832991179</v>
      </c>
      <c r="I10" s="29" t="n">
        <f aca="false">IFERROR(C10/$N$3,"")</f>
        <v>9.11111111111111</v>
      </c>
      <c r="J10" s="5" t="n">
        <f aca="false">IFERROR($N$2-B10,"")</f>
        <v>6.8195700834789</v>
      </c>
      <c r="K10" s="6" t="n">
        <f aca="false">IF(OR(C10="",B10-$N$4&lt;=0),"",(C10-$N$3)/(B10-$N$4))</f>
        <v>0.0650481818269872</v>
      </c>
    </row>
    <row r="11" customFormat="false" ht="15" hidden="false" customHeight="false" outlineLevel="0" collapsed="false">
      <c r="A11" s="4" t="str">
        <f aca="false">'Model Data'!A11</f>
        <v>GPT-6 Astra (Non-reasoning)</v>
      </c>
      <c r="B11" s="5" t="n">
        <f aca="false">IF('Model Data'!D11="","",'Model Data'!D11)</f>
        <v>45.1697751115741</v>
      </c>
      <c r="C11" s="6" t="n">
        <f aca="false">IF('Model Data'!E11="","",'Model Data'!E11)</f>
        <v>1.71</v>
      </c>
      <c r="D11" s="9" t="n">
        <f aca="false">IFERROR(B11/C11,"")</f>
        <v>26.4150731646632</v>
      </c>
      <c r="E11" s="28" t="n">
        <f aca="false">IFERROR(C11/B11,"")</f>
        <v>0.0378571732043412</v>
      </c>
      <c r="F11" s="7" t="n">
        <f aca="false">IF('Model Data'!F11="","",'Model Data'!F11)</f>
        <v>7629.7</v>
      </c>
      <c r="G11" s="7" t="n">
        <f aca="false">IFERROR(F11/B11,"")</f>
        <v>168.911622454481</v>
      </c>
      <c r="H11" s="28" t="n">
        <f aca="false">IFERROR(C11/F11*1000,"")</f>
        <v>0.224124146427776</v>
      </c>
      <c r="I11" s="29" t="n">
        <f aca="false">IFERROR(C11/$N$3,"")</f>
        <v>19</v>
      </c>
      <c r="J11" s="5" t="n">
        <f aca="false">IFERROR($N$2-B11,"")</f>
        <v>7.64429428393891</v>
      </c>
      <c r="K11" s="6" t="n">
        <f aca="false">IF(OR(C11="",B11-$N$4&lt;=0),"",(C11-$N$3)/(B11-$N$4))</f>
        <v>0.155803293425076</v>
      </c>
    </row>
    <row r="12" customFormat="false" ht="15" hidden="false" customHeight="false" outlineLevel="0" collapsed="false">
      <c r="A12" s="4" t="str">
        <f aca="false">'Model Data'!A12</f>
        <v>GPT-5.6 Sol (xhigh)</v>
      </c>
      <c r="B12" s="5" t="n">
        <f aca="false">IF('Model Data'!D12="","",'Model Data'!D12)</f>
        <v>44.138026369169</v>
      </c>
      <c r="C12" s="6" t="n">
        <f aca="false">IF('Model Data'!E12="","",'Model Data'!E12)</f>
        <v>1.18</v>
      </c>
      <c r="D12" s="9" t="n">
        <f aca="false">IFERROR(B12/C12,"")</f>
        <v>37.4051070925161</v>
      </c>
      <c r="E12" s="28" t="n">
        <f aca="false">IFERROR(C12/B12,"")</f>
        <v>0.0267343172558401</v>
      </c>
      <c r="F12" s="7" t="n">
        <f aca="false">IF('Model Data'!F12="","",'Model Data'!F12)</f>
        <v>19576.3</v>
      </c>
      <c r="G12" s="7" t="n">
        <f aca="false">IFERROR(F12/B12,"")</f>
        <v>443.524588894494</v>
      </c>
      <c r="H12" s="28" t="n">
        <f aca="false">IFERROR(C12/F12*1000,"")</f>
        <v>0.0602769675577101</v>
      </c>
      <c r="I12" s="29" t="n">
        <f aca="false">IFERROR(C12/$N$3,"")</f>
        <v>13.1111111111111</v>
      </c>
      <c r="J12" s="5" t="n">
        <f aca="false">IFERROR($N$2-B12,"")</f>
        <v>8.676043026344</v>
      </c>
      <c r="K12" s="6" t="n">
        <f aca="false">IF(OR(C12="",B12-$N$4&lt;=0),"",(C12-$N$3)/(B12-$N$4))</f>
        <v>0.116378668915924</v>
      </c>
    </row>
    <row r="13" customFormat="false" ht="15" hidden="false" customHeight="false" outlineLevel="0" collapsed="false">
      <c r="A13" s="4" t="str">
        <f aca="false">'Model Data'!A13</f>
        <v>GPT-5.6 Sol (high)</v>
      </c>
      <c r="B13" s="5" t="n">
        <f aca="false">IF('Model Data'!D13="","",'Model Data'!D13)</f>
        <v>42.4991760420519</v>
      </c>
      <c r="C13" s="6" t="n">
        <f aca="false">IF('Model Data'!E13="","",'Model Data'!E13)</f>
        <v>0.81</v>
      </c>
      <c r="D13" s="9" t="n">
        <f aca="false">IFERROR(B13/C13,"")</f>
        <v>52.4681185704344</v>
      </c>
      <c r="E13" s="28" t="n">
        <f aca="false">IFERROR(C13/B13,"")</f>
        <v>0.0190591930346726</v>
      </c>
      <c r="F13" s="7" t="n">
        <f aca="false">IF('Model Data'!F13="","",'Model Data'!F13)</f>
        <v>13250</v>
      </c>
      <c r="G13" s="7" t="n">
        <f aca="false">IFERROR(F13/B13,"")</f>
        <v>311.770750258533</v>
      </c>
      <c r="H13" s="28" t="n">
        <f aca="false">IFERROR(C13/F13*1000,"")</f>
        <v>0.0611320754716981</v>
      </c>
      <c r="I13" s="29" t="n">
        <f aca="false">IFERROR(C13/$N$3,"")</f>
        <v>9</v>
      </c>
      <c r="J13" s="5" t="n">
        <f aca="false">IFERROR($N$2-B13,"")</f>
        <v>10.3148933534611</v>
      </c>
      <c r="K13" s="6" t="n">
        <f aca="false">IF(OR(C13="",B13-$N$4&lt;=0),"",(C13-$N$3)/(B13-$N$4))</f>
        <v>0.0931782251702019</v>
      </c>
    </row>
    <row r="14" customFormat="false" ht="15" hidden="false" customHeight="false" outlineLevel="0" collapsed="false">
      <c r="A14" s="4" t="str">
        <f aca="false">'Model Data'!A14</f>
        <v>GPT-5.6 Terra (max)</v>
      </c>
      <c r="B14" s="5" t="n">
        <f aca="false">IF('Model Data'!D14="","",'Model Data'!D14)</f>
        <v>42.2514998239494</v>
      </c>
      <c r="C14" s="6" t="n">
        <f aca="false">IF('Model Data'!E14="","",'Model Data'!E14)</f>
        <v>1.4</v>
      </c>
      <c r="D14" s="9" t="n">
        <f aca="false">IFERROR(B14/C14,"")</f>
        <v>30.1796427313924</v>
      </c>
      <c r="E14" s="28" t="n">
        <f aca="false">IFERROR(C14/B14,"")</f>
        <v>0.033134918424989</v>
      </c>
      <c r="F14" s="7" t="n">
        <f aca="false">IF('Model Data'!F14="","",'Model Data'!F14)</f>
        <v>38897.5</v>
      </c>
      <c r="G14" s="7" t="n">
        <f aca="false">IFERROR(F14/B14,"")</f>
        <v>920.618206740007</v>
      </c>
      <c r="H14" s="28" t="n">
        <f aca="false">IFERROR(C14/F14*1000,"")</f>
        <v>0.0359920303361399</v>
      </c>
      <c r="I14" s="29" t="n">
        <f aca="false">IFERROR(C14/$N$3,"")</f>
        <v>15.5555555555556</v>
      </c>
      <c r="J14" s="5" t="n">
        <f aca="false">IFERROR($N$2-B14,"")</f>
        <v>10.5625695715636</v>
      </c>
      <c r="K14" s="6" t="n">
        <f aca="false">IF(OR(C14="",B14-$N$4&lt;=0),"",(C14-$N$3)/(B14-$N$4))</f>
        <v>0.175146544808261</v>
      </c>
    </row>
    <row r="15" customFormat="false" ht="15" hidden="false" customHeight="false" outlineLevel="0" collapsed="false">
      <c r="A15" s="4" t="str">
        <f aca="false">'Model Data'!A15</f>
        <v>GPT-5.6 Sol (medium)</v>
      </c>
      <c r="B15" s="5" t="n">
        <f aca="false">IF('Model Data'!D15="","",'Model Data'!D15)</f>
        <v>39.4845585889147</v>
      </c>
      <c r="C15" s="6" t="n">
        <f aca="false">IF('Model Data'!E15="","",'Model Data'!E15)</f>
        <v>0.5</v>
      </c>
      <c r="D15" s="9" t="n">
        <f aca="false">IFERROR(B15/C15,"")</f>
        <v>78.9691171778294</v>
      </c>
      <c r="E15" s="28" t="n">
        <f aca="false">IFERROR(C15/B15,"")</f>
        <v>0.0126631781604968</v>
      </c>
      <c r="F15" s="7" t="n">
        <f aca="false">IF('Model Data'!F15="","",'Model Data'!F15)</f>
        <v>7874</v>
      </c>
      <c r="G15" s="7" t="n">
        <f aca="false">IFERROR(F15/B15,"")</f>
        <v>199.419729671503</v>
      </c>
      <c r="H15" s="28" t="n">
        <f aca="false">IFERROR(C15/F15*1000,"")</f>
        <v>0.063500127000254</v>
      </c>
      <c r="I15" s="29" t="n">
        <f aca="false">IFERROR(C15/$N$3,"")</f>
        <v>5.55555555555556</v>
      </c>
      <c r="J15" s="5" t="n">
        <f aca="false">IFERROR($N$2-B15,"")</f>
        <v>13.3295108065983</v>
      </c>
      <c r="K15" s="6" t="n">
        <f aca="false">IF(OR(C15="",B15-$N$4&lt;=0),"",(C15-$N$3)/(B15-$N$4))</f>
        <v>0.0870024722082035</v>
      </c>
    </row>
    <row r="16" customFormat="false" ht="15" hidden="false" customHeight="false" outlineLevel="0" collapsed="false">
      <c r="A16" s="4" t="str">
        <f aca="false">'Model Data'!A16</f>
        <v>GPT-5.6 Terra (xhigh)</v>
      </c>
      <c r="B16" s="5" t="n">
        <f aca="false">IF('Model Data'!D16="","",'Model Data'!D16)</f>
        <v>38.1856370742927</v>
      </c>
      <c r="C16" s="6" t="n">
        <f aca="false">IF('Model Data'!E16="","",'Model Data'!E16)</f>
        <v>0.63</v>
      </c>
      <c r="D16" s="9" t="n">
        <f aca="false">IFERROR(B16/C16,"")</f>
        <v>60.6121223401471</v>
      </c>
      <c r="E16" s="28" t="n">
        <f aca="false">IFERROR(C16/B16,"")</f>
        <v>0.0164983498579399</v>
      </c>
      <c r="F16" s="7" t="n">
        <f aca="false">IF('Model Data'!F16="","",'Model Data'!F16)</f>
        <v>20367.3</v>
      </c>
      <c r="G16" s="7" t="n">
        <f aca="false">IFERROR(F16/B16,"")</f>
        <v>533.375938193045</v>
      </c>
      <c r="H16" s="28" t="n">
        <f aca="false">IFERROR(C16/F16*1000,"")</f>
        <v>0.0309319350134775</v>
      </c>
      <c r="I16" s="29" t="n">
        <f aca="false">IFERROR(C16/$N$3,"")</f>
        <v>7</v>
      </c>
      <c r="J16" s="5" t="n">
        <f aca="false">IFERROR($N$2-B16,"")</f>
        <v>14.6284323212203</v>
      </c>
      <c r="K16" s="6" t="n">
        <f aca="false">IF(OR(C16="",B16-$N$4&lt;=0),"",(C16-$N$3)/(B16-$N$4))</f>
        <v>0.158191310766961</v>
      </c>
    </row>
    <row r="17" customFormat="false" ht="15" hidden="false" customHeight="false" outlineLevel="0" collapsed="false">
      <c r="A17" s="4" t="str">
        <f aca="false">'Model Data'!A17</f>
        <v>GPT-5.6 Luna (max)</v>
      </c>
      <c r="B17" s="5" t="n">
        <f aca="false">IF('Model Data'!D17="","",'Model Data'!D17)</f>
        <v>37.5048489690841</v>
      </c>
      <c r="C17" s="6" t="n">
        <f aca="false">IF('Model Data'!E17="","",'Model Data'!E17)</f>
        <v>0.18</v>
      </c>
      <c r="D17" s="9" t="n">
        <f aca="false">IFERROR(B17/C17,"")</f>
        <v>208.360272050467</v>
      </c>
      <c r="E17" s="28" t="n">
        <f aca="false">IFERROR(C17/B17,"")</f>
        <v>0.00479937941220286</v>
      </c>
      <c r="F17" s="7" t="n">
        <f aca="false">IF('Model Data'!F17="","",'Model Data'!F17)</f>
        <v>41234.6</v>
      </c>
      <c r="G17" s="7" t="n">
        <f aca="false">IFERROR(F17/B17,"")</f>
        <v>1099.44716839122</v>
      </c>
      <c r="H17" s="28" t="n">
        <f aca="false">IFERROR(C17/F17*1000,"")</f>
        <v>0.00436526606296654</v>
      </c>
      <c r="I17" s="29" t="n">
        <f aca="false">IFERROR(C17/$N$3,"")</f>
        <v>2</v>
      </c>
      <c r="J17" s="5" t="n">
        <f aca="false">IFERROR($N$2-B17,"")</f>
        <v>15.3092204264289</v>
      </c>
      <c r="K17" s="6" t="n">
        <f aca="false">IF(OR(C17="",B17-$N$4&lt;=0),"",(C17-$N$3)/(B17-$N$4))</f>
        <v>0.0329332535005191</v>
      </c>
    </row>
    <row r="18" customFormat="false" ht="15" hidden="false" customHeight="false" outlineLevel="0" collapsed="false">
      <c r="A18" s="4" t="str">
        <f aca="false">'Model Data'!A18</f>
        <v>GPT-5.6 Luna (xhigh)</v>
      </c>
      <c r="B18" s="5" t="n">
        <f aca="false">IF('Model Data'!D18="","",'Model Data'!D18)</f>
        <v>34.772048822309</v>
      </c>
      <c r="C18" s="6" t="n">
        <f aca="false">IF('Model Data'!E18="","",'Model Data'!E18)</f>
        <v>0.09</v>
      </c>
      <c r="D18" s="9" t="n">
        <f aca="false">IFERROR(B18/C18,"")</f>
        <v>386.356098025656</v>
      </c>
      <c r="E18" s="28" t="n">
        <f aca="false">IFERROR(C18/B18,"")</f>
        <v>0.00258828579414216</v>
      </c>
      <c r="F18" s="7" t="n">
        <f aca="false">IF('Model Data'!F18="","",'Model Data'!F18)</f>
        <v>23624.5</v>
      </c>
      <c r="G18" s="7" t="n">
        <f aca="false">IFERROR(F18/B18,"")</f>
        <v>679.410641596794</v>
      </c>
      <c r="H18" s="28" t="n">
        <f aca="false">IFERROR(C18/F18*1000,"")</f>
        <v>0.00380960443607272</v>
      </c>
      <c r="I18" s="29" t="n">
        <f aca="false">IFERROR(C18/$N$3,"")</f>
        <v>1</v>
      </c>
      <c r="J18" s="5" t="n">
        <f aca="false">IFERROR($N$2-B18,"")</f>
        <v>18.042020573204</v>
      </c>
      <c r="K18" s="6" t="str">
        <f aca="false">IF(OR(C18="",B18-$N$4&lt;=0),"",(C18-$N$3)/(B18-$N$4))</f>
        <v/>
      </c>
    </row>
    <row r="19" customFormat="false" ht="15" hidden="false" customHeight="false" outlineLevel="0" collapsed="false">
      <c r="A19" s="4" t="str">
        <f aca="false">'Model Data'!A19</f>
        <v>GPT-5.6 Terra (high)</v>
      </c>
      <c r="B19" s="5" t="n">
        <f aca="false">IF('Model Data'!D19="","",'Model Data'!D19)</f>
        <v>34.4910058067555</v>
      </c>
      <c r="C19" s="6" t="n">
        <f aca="false">IF('Model Data'!E19="","",'Model Data'!E19)</f>
        <v>0.34</v>
      </c>
      <c r="D19" s="9" t="n">
        <f aca="false">IFERROR(B19/C19,"")</f>
        <v>101.444134725751</v>
      </c>
      <c r="E19" s="28" t="n">
        <f aca="false">IFERROR(C19/B19,"")</f>
        <v>0.00985764236348848</v>
      </c>
      <c r="F19" s="7" t="n">
        <f aca="false">IF('Model Data'!F19="","",'Model Data'!F19)</f>
        <v>11293.7</v>
      </c>
      <c r="G19" s="7" t="n">
        <f aca="false">IFERROR(F19/B19,"")</f>
        <v>327.438986942735</v>
      </c>
      <c r="H19" s="28" t="n">
        <f aca="false">IFERROR(C19/F19*1000,"")</f>
        <v>0.0301052799348309</v>
      </c>
      <c r="I19" s="29" t="n">
        <f aca="false">IFERROR(C19/$N$3,"")</f>
        <v>3.77777777777778</v>
      </c>
      <c r="J19" s="5" t="n">
        <f aca="false">IFERROR($N$2-B19,"")</f>
        <v>18.3230635887575</v>
      </c>
      <c r="K19" s="6" t="str">
        <f aca="false">IF(OR(C19="",B19-$N$4&lt;=0),"",(C19-$N$3)/(B19-$N$4))</f>
        <v/>
      </c>
    </row>
    <row r="20" customFormat="false" ht="15" hidden="false" customHeight="false" outlineLevel="0" collapsed="false">
      <c r="A20" s="4" t="str">
        <f aca="false">'Model Data'!A20</f>
        <v>GPT-5.6 Sol (low)</v>
      </c>
      <c r="B20" s="5" t="n">
        <f aca="false">IF('Model Data'!D20="","",'Model Data'!D20)</f>
        <v>33.7979387646002</v>
      </c>
      <c r="C20" s="6" t="n">
        <f aca="false">IF('Model Data'!E20="","",'Model Data'!E20)</f>
        <v>0.26</v>
      </c>
      <c r="D20" s="9" t="n">
        <f aca="false">IFERROR(B20/C20,"")</f>
        <v>129.992072171539</v>
      </c>
      <c r="E20" s="28" t="n">
        <f aca="false">IFERROR(C20/B20,"")</f>
        <v>0.00769277682319263</v>
      </c>
      <c r="F20" s="7" t="n">
        <f aca="false">IF('Model Data'!F20="","",'Model Data'!F20)</f>
        <v>3974.4</v>
      </c>
      <c r="G20" s="7" t="n">
        <f aca="false">IFERROR(F20/B20,"")</f>
        <v>117.592970023449</v>
      </c>
      <c r="H20" s="28" t="n">
        <f aca="false">IFERROR(C20/F20*1000,"")</f>
        <v>0.0654186795491143</v>
      </c>
      <c r="I20" s="29" t="n">
        <f aca="false">IFERROR(C20/$N$3,"")</f>
        <v>2.88888888888889</v>
      </c>
      <c r="J20" s="5" t="n">
        <f aca="false">IFERROR($N$2-B20,"")</f>
        <v>19.0161306309128</v>
      </c>
      <c r="K20" s="6" t="str">
        <f aca="false">IF(OR(C20="",B20-$N$4&lt;=0),"",(C20-$N$3)/(B20-$N$4))</f>
        <v/>
      </c>
    </row>
    <row r="21" customFormat="false" ht="15" hidden="false" customHeight="false" outlineLevel="0" collapsed="false">
      <c r="A21" s="4" t="str">
        <f aca="false">'Model Data'!A21</f>
        <v>GPT-5.6 Luna (high)</v>
      </c>
      <c r="B21" s="5" t="n">
        <f aca="false">IF('Model Data'!D21="","",'Model Data'!D21)</f>
        <v>32.9059788719235</v>
      </c>
      <c r="C21" s="6" t="str">
        <f aca="false">IF('Model Data'!E21="","",'Model Data'!E21)</f>
        <v/>
      </c>
      <c r="D21" s="9" t="str">
        <f aca="false">IFERROR(B21/C21,"")</f>
        <v/>
      </c>
      <c r="E21" s="28" t="str">
        <f aca="false">IFERROR(C21/B21,"")</f>
        <v/>
      </c>
      <c r="F21" s="7" t="str">
        <f aca="false">IF('Model Data'!F21="","",'Model Data'!F21)</f>
        <v/>
      </c>
      <c r="G21" s="7" t="str">
        <f aca="false">IFERROR(F21/B21,"")</f>
        <v/>
      </c>
      <c r="H21" s="28" t="str">
        <f aca="false">IFERROR(C21/F21*1000,"")</f>
        <v/>
      </c>
      <c r="I21" s="29" t="str">
        <f aca="false">IFERROR(C21/$N$3,"")</f>
        <v/>
      </c>
      <c r="J21" s="5" t="n">
        <f aca="false">IFERROR($N$2-B21,"")</f>
        <v>19.9080905235895</v>
      </c>
      <c r="K21" s="6" t="str">
        <f aca="false">IF(OR(C21="",B21-$N$4&lt;=0),"",(C21-$N$3)/(B21-$N$4))</f>
        <v/>
      </c>
    </row>
    <row r="22" customFormat="false" ht="15" hidden="false" customHeight="false" outlineLevel="0" collapsed="false">
      <c r="A22" s="4" t="str">
        <f aca="false">'Model Data'!A22</f>
        <v>GPT-5.6 Terra (medium)</v>
      </c>
      <c r="B22" s="5" t="n">
        <f aca="false">IF('Model Data'!D22="","",'Model Data'!D22)</f>
        <v>32.7587708276955</v>
      </c>
      <c r="C22" s="6" t="str">
        <f aca="false">IF('Model Data'!E22="","",'Model Data'!E22)</f>
        <v/>
      </c>
      <c r="D22" s="9" t="str">
        <f aca="false">IFERROR(B22/C22,"")</f>
        <v/>
      </c>
      <c r="E22" s="28" t="str">
        <f aca="false">IFERROR(C22/B22,"")</f>
        <v/>
      </c>
      <c r="F22" s="7" t="str">
        <f aca="false">IF('Model Data'!F22="","",'Model Data'!F22)</f>
        <v/>
      </c>
      <c r="G22" s="7" t="str">
        <f aca="false">IFERROR(F22/B22,"")</f>
        <v/>
      </c>
      <c r="H22" s="28" t="str">
        <f aca="false">IFERROR(C22/F22*1000,"")</f>
        <v/>
      </c>
      <c r="I22" s="29" t="str">
        <f aca="false">IFERROR(C22/$N$3,"")</f>
        <v/>
      </c>
      <c r="J22" s="5" t="n">
        <f aca="false">IFERROR($N$2-B22,"")</f>
        <v>20.0552985678175</v>
      </c>
      <c r="K22" s="6" t="str">
        <f aca="false">IF(OR(C22="",B22-$N$4&lt;=0),"",(C22-$N$3)/(B22-$N$4))</f>
        <v/>
      </c>
    </row>
    <row r="23" customFormat="false" ht="15" hidden="false" customHeight="false" outlineLevel="0" collapsed="false">
      <c r="A23" s="4" t="str">
        <f aca="false">'Model Data'!A23</f>
        <v>GPT-5.6 Terra (low)</v>
      </c>
      <c r="B23" s="5" t="n">
        <f aca="false">IF('Model Data'!D23="","",'Model Data'!D23)</f>
        <v>27.8765112356137</v>
      </c>
      <c r="C23" s="6" t="str">
        <f aca="false">IF('Model Data'!E23="","",'Model Data'!E23)</f>
        <v/>
      </c>
      <c r="D23" s="9" t="str">
        <f aca="false">IFERROR(B23/C23,"")</f>
        <v/>
      </c>
      <c r="E23" s="28" t="str">
        <f aca="false">IFERROR(C23/B23,"")</f>
        <v/>
      </c>
      <c r="F23" s="7" t="str">
        <f aca="false">IF('Model Data'!F23="","",'Model Data'!F23)</f>
        <v/>
      </c>
      <c r="G23" s="7" t="str">
        <f aca="false">IFERROR(F23/B23,"")</f>
        <v/>
      </c>
      <c r="H23" s="28" t="str">
        <f aca="false">IFERROR(C23/F23*1000,"")</f>
        <v/>
      </c>
      <c r="I23" s="29" t="str">
        <f aca="false">IFERROR(C23/$N$3,"")</f>
        <v/>
      </c>
      <c r="J23" s="5" t="n">
        <f aca="false">IFERROR($N$2-B23,"")</f>
        <v>24.9375581598993</v>
      </c>
      <c r="K23" s="6" t="str">
        <f aca="false">IF(OR(C23="",B23-$N$4&lt;=0),"",(C23-$N$3)/(B23-$N$4))</f>
        <v/>
      </c>
    </row>
    <row r="24" customFormat="false" ht="15" hidden="false" customHeight="false" outlineLevel="0" collapsed="false">
      <c r="A24" s="4" t="str">
        <f aca="false">'Model Data'!A24</f>
        <v>GPT-5.6 Luna (medium)</v>
      </c>
      <c r="B24" s="5" t="n">
        <f aca="false">IF('Model Data'!D24="","",'Model Data'!D24)</f>
        <v>25.7828734221316</v>
      </c>
      <c r="C24" s="6" t="str">
        <f aca="false">IF('Model Data'!E24="","",'Model Data'!E24)</f>
        <v/>
      </c>
      <c r="D24" s="9" t="str">
        <f aca="false">IFERROR(B24/C24,"")</f>
        <v/>
      </c>
      <c r="E24" s="28" t="str">
        <f aca="false">IFERROR(C24/B24,"")</f>
        <v/>
      </c>
      <c r="F24" s="7" t="str">
        <f aca="false">IF('Model Data'!F24="","",'Model Data'!F24)</f>
        <v/>
      </c>
      <c r="G24" s="7" t="str">
        <f aca="false">IFERROR(F24/B24,"")</f>
        <v/>
      </c>
      <c r="H24" s="28" t="str">
        <f aca="false">IFERROR(C24/F24*1000,"")</f>
        <v/>
      </c>
      <c r="I24" s="29" t="str">
        <f aca="false">IFERROR(C24/$N$3,"")</f>
        <v/>
      </c>
      <c r="J24" s="5" t="n">
        <f aca="false">IFERROR($N$2-B24,"")</f>
        <v>27.0311959733814</v>
      </c>
      <c r="K24" s="6" t="str">
        <f aca="false">IF(OR(C24="",B24-$N$4&lt;=0),"",(C24-$N$3)/(B24-$N$4))</f>
        <v/>
      </c>
    </row>
    <row r="25" customFormat="false" ht="15" hidden="false" customHeight="false" outlineLevel="0" collapsed="false">
      <c r="A25" s="4" t="str">
        <f aca="false">'Model Data'!A25</f>
        <v>GPT-5.6 Terra (Non-reasoning)</v>
      </c>
      <c r="B25" s="5" t="n">
        <f aca="false">IF('Model Data'!D25="","",'Model Data'!D25)</f>
        <v>22.3001011790774</v>
      </c>
      <c r="C25" s="6" t="str">
        <f aca="false">IF('Model Data'!E25="","",'Model Data'!E25)</f>
        <v/>
      </c>
      <c r="D25" s="9" t="str">
        <f aca="false">IFERROR(B25/C25,"")</f>
        <v/>
      </c>
      <c r="E25" s="28" t="str">
        <f aca="false">IFERROR(C25/B25,"")</f>
        <v/>
      </c>
      <c r="F25" s="7" t="str">
        <f aca="false">IF('Model Data'!F25="","",'Model Data'!F25)</f>
        <v/>
      </c>
      <c r="G25" s="7" t="str">
        <f aca="false">IFERROR(F25/B25,"")</f>
        <v/>
      </c>
      <c r="H25" s="28" t="str">
        <f aca="false">IFERROR(C25/F25*1000,"")</f>
        <v/>
      </c>
      <c r="I25" s="29" t="str">
        <f aca="false">IFERROR(C25/$N$3,"")</f>
        <v/>
      </c>
      <c r="J25" s="5" t="n">
        <f aca="false">IFERROR($N$2-B25,"")</f>
        <v>30.5139682164356</v>
      </c>
      <c r="K25" s="6" t="str">
        <f aca="false">IF(OR(C25="",B25-$N$4&lt;=0),"",(C25-$N$3)/(B25-$N$4))</f>
        <v/>
      </c>
    </row>
    <row r="26" customFormat="false" ht="15" hidden="false" customHeight="false" outlineLevel="0" collapsed="false">
      <c r="A26" s="4" t="str">
        <f aca="false">'Model Data'!A26</f>
        <v>GPT-5.6 Luna (low)</v>
      </c>
      <c r="B26" s="5" t="n">
        <f aca="false">IF('Model Data'!D26="","",'Model Data'!D26)</f>
        <v>21.834227046588</v>
      </c>
      <c r="C26" s="6" t="str">
        <f aca="false">IF('Model Data'!E26="","",'Model Data'!E26)</f>
        <v/>
      </c>
      <c r="D26" s="9" t="str">
        <f aca="false">IFERROR(B26/C26,"")</f>
        <v/>
      </c>
      <c r="E26" s="28" t="str">
        <f aca="false">IFERROR(C26/B26,"")</f>
        <v/>
      </c>
      <c r="F26" s="7" t="str">
        <f aca="false">IF('Model Data'!F26="","",'Model Data'!F26)</f>
        <v/>
      </c>
      <c r="G26" s="7" t="str">
        <f aca="false">IFERROR(F26/B26,"")</f>
        <v/>
      </c>
      <c r="H26" s="28" t="str">
        <f aca="false">IFERROR(C26/F26*1000,"")</f>
        <v/>
      </c>
      <c r="I26" s="29" t="str">
        <f aca="false">IFERROR(C26/$N$3,"")</f>
        <v/>
      </c>
      <c r="J26" s="5" t="n">
        <f aca="false">IFERROR($N$2-B26,"")</f>
        <v>30.979842348925</v>
      </c>
      <c r="K26" s="6" t="str">
        <f aca="false">IF(OR(C26="",B26-$N$4&lt;=0),"",(C26-$N$3)/(B26-$N$4))</f>
        <v/>
      </c>
    </row>
    <row r="28" customFormat="false" ht="15" hidden="false" customHeight="false" outlineLevel="0" collapsed="false">
      <c r="A28" s="24" t="s">
        <v>97</v>
      </c>
    </row>
    <row r="29" customFormat="false" ht="15" hidden="false" customHeight="false" outlineLevel="0" collapsed="false">
      <c r="A29" s="2" t="s">
        <v>98</v>
      </c>
    </row>
    <row r="30" customFormat="false" ht="15" hidden="false" customHeight="false" outlineLevel="0" collapsed="false">
      <c r="A30" s="2" t="s">
        <v>99</v>
      </c>
    </row>
    <row r="31" customFormat="false" ht="15" hidden="false" customHeight="false" outlineLevel="0" collapsed="false">
      <c r="A31" s="2" t="s">
        <v>100</v>
      </c>
    </row>
    <row r="32" customFormat="false" ht="15" hidden="false" customHeight="false" outlineLevel="0" collapsed="false">
      <c r="A32" s="2" t="s">
        <v>101</v>
      </c>
    </row>
    <row r="33" customFormat="false" ht="15" hidden="false" customHeight="false" outlineLevel="0" collapsed="false">
      <c r="A33" s="2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1"/>
    <col collapsed="false" customWidth="true" hidden="false" outlineLevel="0" max="21" min="5" style="0" width="13"/>
  </cols>
  <sheetData>
    <row r="1" customFormat="false" ht="16.1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4" customFormat="false" ht="45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105</v>
      </c>
      <c r="F4" s="3" t="s">
        <v>106</v>
      </c>
      <c r="G4" s="3" t="s">
        <v>107</v>
      </c>
      <c r="H4" s="3" t="s">
        <v>108</v>
      </c>
      <c r="I4" s="3" t="s">
        <v>109</v>
      </c>
      <c r="J4" s="3" t="s">
        <v>110</v>
      </c>
      <c r="K4" s="3" t="s">
        <v>111</v>
      </c>
      <c r="L4" s="3" t="s">
        <v>112</v>
      </c>
      <c r="M4" s="3" t="s">
        <v>113</v>
      </c>
      <c r="N4" s="3" t="s">
        <v>114</v>
      </c>
      <c r="O4" s="3" t="s">
        <v>115</v>
      </c>
      <c r="P4" s="3" t="s">
        <v>116</v>
      </c>
      <c r="Q4" s="3" t="s">
        <v>117</v>
      </c>
      <c r="R4" s="3" t="s">
        <v>118</v>
      </c>
      <c r="S4" s="3" t="s">
        <v>119</v>
      </c>
      <c r="T4" s="3" t="s">
        <v>120</v>
      </c>
      <c r="U4" s="3" t="s">
        <v>121</v>
      </c>
    </row>
    <row r="5" customFormat="false" ht="15" hidden="false" customHeight="false" outlineLevel="0" collapsed="false">
      <c r="A5" s="4" t="s">
        <v>21</v>
      </c>
      <c r="B5" s="4" t="s">
        <v>22</v>
      </c>
      <c r="C5" s="4" t="s">
        <v>23</v>
      </c>
      <c r="D5" s="5" t="n">
        <v>52.814069395513</v>
      </c>
      <c r="E5" s="11" t="n">
        <v>0.531005</v>
      </c>
      <c r="F5" s="11" t="n">
        <v>0.5401</v>
      </c>
      <c r="G5" s="11" t="n">
        <v>0.684917480668888</v>
      </c>
      <c r="H5" s="11" t="n">
        <v>0.590909090909091</v>
      </c>
      <c r="I5" s="11" t="n">
        <v>0.564814814814815</v>
      </c>
      <c r="J5" s="11" t="n">
        <v>0.546802594995366</v>
      </c>
      <c r="K5" s="11" t="n">
        <v>0.31</v>
      </c>
      <c r="L5" s="11" t="n">
        <v>0.317142857142857</v>
      </c>
      <c r="M5" s="11" t="n">
        <v>0.626</v>
      </c>
      <c r="N5" s="11" t="n">
        <v>0.486631016042781</v>
      </c>
      <c r="O5" s="11" t="n">
        <v>0.806666666666667</v>
      </c>
      <c r="P5" s="4"/>
      <c r="Q5" s="4"/>
      <c r="R5" s="11" t="n">
        <v>0.5125</v>
      </c>
      <c r="S5" s="4"/>
      <c r="T5" s="11" t="n">
        <v>0.414432989690722</v>
      </c>
      <c r="U5" s="11" t="n">
        <v>0.86878612716763</v>
      </c>
    </row>
    <row r="6" customFormat="false" ht="15" hidden="false" customHeight="false" outlineLevel="0" collapsed="false">
      <c r="A6" s="4" t="s">
        <v>24</v>
      </c>
      <c r="B6" s="4" t="s">
        <v>22</v>
      </c>
      <c r="C6" s="4" t="s">
        <v>25</v>
      </c>
      <c r="D6" s="5" t="n">
        <v>52.5059027108782</v>
      </c>
      <c r="E6" s="11" t="n">
        <v>0.516865</v>
      </c>
      <c r="F6" s="11" t="n">
        <v>0.527615</v>
      </c>
      <c r="G6" s="11" t="n">
        <v>0.671777802021539</v>
      </c>
      <c r="H6" s="11" t="n">
        <v>0.595959595959596</v>
      </c>
      <c r="I6" s="11" t="n">
        <v>0.556712962962963</v>
      </c>
      <c r="J6" s="11" t="n">
        <v>0.545875810936052</v>
      </c>
      <c r="K6" s="11" t="n">
        <v>0.322</v>
      </c>
      <c r="L6" s="11" t="n">
        <v>0.314285714285714</v>
      </c>
      <c r="M6" s="11" t="n">
        <v>0.6185</v>
      </c>
      <c r="N6" s="11" t="n">
        <v>0.516819571865443</v>
      </c>
      <c r="O6" s="11" t="n">
        <v>0.8</v>
      </c>
      <c r="P6" s="4"/>
      <c r="Q6" s="4"/>
      <c r="R6" s="4"/>
      <c r="S6" s="4"/>
      <c r="T6" s="11" t="n">
        <v>0.430927835051546</v>
      </c>
      <c r="U6" s="11" t="n">
        <v>0.86242774566474</v>
      </c>
    </row>
    <row r="7" customFormat="false" ht="15" hidden="false" customHeight="false" outlineLevel="0" collapsed="false">
      <c r="A7" s="4" t="s">
        <v>26</v>
      </c>
      <c r="B7" s="4" t="s">
        <v>22</v>
      </c>
      <c r="C7" s="4" t="s">
        <v>27</v>
      </c>
      <c r="D7" s="5" t="n">
        <v>51.0480721636152</v>
      </c>
      <c r="E7" s="11" t="n">
        <v>0.496935</v>
      </c>
      <c r="F7" s="11" t="n">
        <v>0.51485</v>
      </c>
      <c r="G7" s="11" t="n">
        <v>0.666122174975011</v>
      </c>
      <c r="H7" s="11" t="n">
        <v>0.54040404040404</v>
      </c>
      <c r="I7" s="11" t="n">
        <v>0.554398148148148</v>
      </c>
      <c r="J7" s="11" t="n">
        <v>0.530583873957368</v>
      </c>
      <c r="K7" s="11" t="n">
        <v>0.31</v>
      </c>
      <c r="L7" s="11" t="n">
        <v>0.288571428571429</v>
      </c>
      <c r="M7" s="11" t="n">
        <v>0.611333333333333</v>
      </c>
      <c r="N7" s="11" t="n">
        <v>0.552315608919383</v>
      </c>
      <c r="O7" s="11" t="n">
        <v>0.8</v>
      </c>
      <c r="P7" s="4"/>
      <c r="Q7" s="4"/>
      <c r="R7" s="4"/>
      <c r="S7" s="4"/>
      <c r="T7" s="11" t="n">
        <v>0.4</v>
      </c>
      <c r="U7" s="11" t="n">
        <v>0.864161849710983</v>
      </c>
    </row>
    <row r="8" customFormat="false" ht="15" hidden="false" customHeight="false" outlineLevel="0" collapsed="false">
      <c r="A8" s="4" t="s">
        <v>28</v>
      </c>
      <c r="B8" s="4" t="s">
        <v>22</v>
      </c>
      <c r="C8" s="4" t="s">
        <v>29</v>
      </c>
      <c r="D8" s="5" t="n">
        <v>49.6685363034369</v>
      </c>
      <c r="E8" s="11" t="n">
        <v>0.4753</v>
      </c>
      <c r="F8" s="11" t="n">
        <v>0.500335</v>
      </c>
      <c r="G8" s="11" t="n">
        <v>0.645949885056118</v>
      </c>
      <c r="H8" s="11" t="n">
        <v>0.494949494949495</v>
      </c>
      <c r="I8" s="11" t="n">
        <v>0.541666666666667</v>
      </c>
      <c r="J8" s="11" t="n">
        <v>0.527340129749768</v>
      </c>
      <c r="K8" s="11" t="n">
        <v>0.304</v>
      </c>
      <c r="L8" s="11" t="n">
        <v>0.291428571428571</v>
      </c>
      <c r="M8" s="11" t="n">
        <v>0.605666666666667</v>
      </c>
      <c r="N8" s="11" t="n">
        <v>0.534657650042266</v>
      </c>
      <c r="O8" s="11" t="n">
        <v>0.796666666666667</v>
      </c>
      <c r="P8" s="4"/>
      <c r="Q8" s="4"/>
      <c r="R8" s="4"/>
      <c r="S8" s="4"/>
      <c r="T8" s="11" t="n">
        <v>0.354639175257732</v>
      </c>
      <c r="U8" s="11" t="n">
        <v>0.850867052023121</v>
      </c>
    </row>
    <row r="9" customFormat="false" ht="15" hidden="false" customHeight="false" outlineLevel="0" collapsed="false">
      <c r="A9" s="4" t="s">
        <v>30</v>
      </c>
      <c r="B9" s="4" t="s">
        <v>31</v>
      </c>
      <c r="C9" s="4" t="s">
        <v>23</v>
      </c>
      <c r="D9" s="5" t="n">
        <v>47.0613568915036</v>
      </c>
      <c r="E9" s="11" t="n">
        <v>0.4875</v>
      </c>
      <c r="F9" s="11" t="n">
        <v>0.562055</v>
      </c>
      <c r="G9" s="11" t="n">
        <v>0.600811499627633</v>
      </c>
      <c r="H9" s="11" t="n">
        <v>0.398989898989899</v>
      </c>
      <c r="I9" s="11" t="n">
        <v>0.570601851851852</v>
      </c>
      <c r="J9" s="11" t="n">
        <v>0.494902687673772</v>
      </c>
      <c r="K9" s="11" t="n">
        <v>0.272</v>
      </c>
      <c r="L9" s="11" t="n">
        <v>0.322857142857143</v>
      </c>
      <c r="M9" s="11" t="n">
        <v>0.594</v>
      </c>
      <c r="N9" s="11" t="n">
        <v>0.0779967159277504</v>
      </c>
      <c r="O9" s="11" t="n">
        <v>0.84</v>
      </c>
      <c r="P9" s="11" t="n">
        <v>0.871761470545665</v>
      </c>
      <c r="Q9" s="11" t="n">
        <v>0.429125634139063</v>
      </c>
      <c r="R9" s="11" t="n">
        <v>0.475</v>
      </c>
      <c r="S9" s="11" t="n">
        <v>0.726530612244898</v>
      </c>
      <c r="T9" s="11" t="n">
        <v>0.443298969072165</v>
      </c>
      <c r="U9" s="11" t="n">
        <v>0.834104046242775</v>
      </c>
    </row>
    <row r="10" customFormat="false" ht="15" hidden="false" customHeight="false" outlineLevel="0" collapsed="false">
      <c r="A10" s="4" t="s">
        <v>32</v>
      </c>
      <c r="B10" s="4" t="s">
        <v>22</v>
      </c>
      <c r="C10" s="4" t="s">
        <v>33</v>
      </c>
      <c r="D10" s="5" t="n">
        <v>45.9944993120341</v>
      </c>
      <c r="E10" s="11" t="n">
        <v>0.37655</v>
      </c>
      <c r="F10" s="11" t="n">
        <v>0.459645</v>
      </c>
      <c r="G10" s="11" t="n">
        <v>0.59096726104454</v>
      </c>
      <c r="H10" s="11" t="n">
        <v>0.419191919191919</v>
      </c>
      <c r="I10" s="11" t="n">
        <v>0.540509259259259</v>
      </c>
      <c r="J10" s="11" t="n">
        <v>0.492122335495829</v>
      </c>
      <c r="K10" s="11" t="n">
        <v>0.304</v>
      </c>
      <c r="L10" s="11" t="n">
        <v>0.262857142857143</v>
      </c>
      <c r="M10" s="11" t="n">
        <v>0.595333333333333</v>
      </c>
      <c r="N10" s="11" t="n">
        <v>0.530889621087315</v>
      </c>
      <c r="O10" s="11" t="n">
        <v>0.8</v>
      </c>
      <c r="P10" s="4"/>
      <c r="Q10" s="4"/>
      <c r="R10" s="4"/>
      <c r="S10" s="4"/>
      <c r="T10" s="11" t="n">
        <v>0.319587628865979</v>
      </c>
      <c r="U10" s="11" t="n">
        <v>0.846242774566474</v>
      </c>
    </row>
    <row r="11" customFormat="false" ht="15" hidden="false" customHeight="false" outlineLevel="0" collapsed="false">
      <c r="A11" s="4" t="s">
        <v>34</v>
      </c>
      <c r="B11" s="4" t="s">
        <v>22</v>
      </c>
      <c r="C11" s="4" t="s">
        <v>35</v>
      </c>
      <c r="D11" s="5" t="n">
        <v>45.1697751115741</v>
      </c>
      <c r="E11" s="11" t="n">
        <v>0.48566</v>
      </c>
      <c r="F11" s="11" t="n">
        <v>0.521295</v>
      </c>
      <c r="G11" s="11" t="n">
        <v>0.617722434585613</v>
      </c>
      <c r="H11" s="11" t="n">
        <v>0.505050505050505</v>
      </c>
      <c r="I11" s="11" t="n">
        <v>0.534722222222222</v>
      </c>
      <c r="J11" s="11" t="n">
        <v>0.371177015755329</v>
      </c>
      <c r="K11" s="11" t="n">
        <v>0.268</v>
      </c>
      <c r="L11" s="11" t="n">
        <v>0.197142857142857</v>
      </c>
      <c r="M11" s="11" t="n">
        <v>0.556</v>
      </c>
      <c r="N11" s="11" t="n">
        <v>0.345720720720721</v>
      </c>
      <c r="O11" s="11" t="n">
        <v>0.706666666666667</v>
      </c>
      <c r="P11" s="4"/>
      <c r="Q11" s="4"/>
      <c r="R11" s="4"/>
      <c r="S11" s="4"/>
      <c r="T11" s="11" t="n">
        <v>0.371134020618557</v>
      </c>
      <c r="U11" s="11" t="n">
        <v>0.820231213872832</v>
      </c>
    </row>
    <row r="12" customFormat="false" ht="15" hidden="false" customHeight="false" outlineLevel="0" collapsed="false">
      <c r="A12" s="4" t="s">
        <v>36</v>
      </c>
      <c r="B12" s="4" t="s">
        <v>31</v>
      </c>
      <c r="C12" s="4" t="s">
        <v>25</v>
      </c>
      <c r="D12" s="5" t="n">
        <v>44.138026369169</v>
      </c>
      <c r="E12" s="11" t="n">
        <v>0.46734</v>
      </c>
      <c r="F12" s="11" t="n">
        <v>0.54244</v>
      </c>
      <c r="G12" s="11" t="n">
        <v>0.553116726932699</v>
      </c>
      <c r="H12" s="11" t="n">
        <v>0.247474747474747</v>
      </c>
      <c r="I12" s="11" t="n">
        <v>0.570601851851852</v>
      </c>
      <c r="J12" s="11" t="n">
        <v>0.473123262279889</v>
      </c>
      <c r="K12" s="11" t="n">
        <v>0.276</v>
      </c>
      <c r="L12" s="11" t="n">
        <v>0.285714285714286</v>
      </c>
      <c r="M12" s="11" t="n">
        <v>0.588166666666667</v>
      </c>
      <c r="N12" s="11" t="n">
        <v>0.0813435855928774</v>
      </c>
      <c r="O12" s="11" t="n">
        <v>0.823333333333333</v>
      </c>
      <c r="P12" s="4"/>
      <c r="Q12" s="4"/>
      <c r="R12" s="4"/>
      <c r="S12" s="11" t="n">
        <v>0.710204081632653</v>
      </c>
      <c r="T12" s="11" t="n">
        <v>0.381443298969072</v>
      </c>
      <c r="U12" s="11" t="n">
        <v>0.826589595375723</v>
      </c>
    </row>
    <row r="13" customFormat="false" ht="15" hidden="false" customHeight="false" outlineLevel="0" collapsed="false">
      <c r="A13" s="4" t="s">
        <v>37</v>
      </c>
      <c r="B13" s="4" t="s">
        <v>31</v>
      </c>
      <c r="C13" s="4" t="s">
        <v>27</v>
      </c>
      <c r="D13" s="5" t="n">
        <v>42.4991760420519</v>
      </c>
      <c r="E13" s="11" t="n">
        <v>0.43044</v>
      </c>
      <c r="F13" s="11" t="n">
        <v>0.512005</v>
      </c>
      <c r="G13" s="11" t="n">
        <v>0.553122035739373</v>
      </c>
      <c r="H13" s="11" t="n">
        <v>0.207070707070707</v>
      </c>
      <c r="I13" s="11" t="n">
        <v>0.577546296296296</v>
      </c>
      <c r="J13" s="11" t="n">
        <v>0.46014828544949</v>
      </c>
      <c r="K13" s="11" t="n">
        <v>0.278</v>
      </c>
      <c r="L13" s="11" t="n">
        <v>0.257142857142857</v>
      </c>
      <c r="M13" s="11" t="n">
        <v>0.5835</v>
      </c>
      <c r="N13" s="11" t="n">
        <v>0.0880352140856343</v>
      </c>
      <c r="O13" s="11" t="n">
        <v>0.816666666666667</v>
      </c>
      <c r="P13" s="4"/>
      <c r="Q13" s="4"/>
      <c r="R13" s="4"/>
      <c r="S13" s="11" t="n">
        <v>0.691836734693878</v>
      </c>
      <c r="T13" s="11" t="n">
        <v>0.36701030927835</v>
      </c>
      <c r="U13" s="11" t="n">
        <v>0.81849710982659</v>
      </c>
    </row>
    <row r="14" customFormat="false" ht="15" hidden="false" customHeight="false" outlineLevel="0" collapsed="false">
      <c r="A14" s="4" t="s">
        <v>38</v>
      </c>
      <c r="B14" s="4" t="s">
        <v>39</v>
      </c>
      <c r="C14" s="4" t="s">
        <v>23</v>
      </c>
      <c r="D14" s="5" t="n">
        <v>42.2514998239494</v>
      </c>
      <c r="E14" s="11" t="n">
        <v>0.415</v>
      </c>
      <c r="F14" s="11" t="n">
        <v>0.48848</v>
      </c>
      <c r="G14" s="11" t="n">
        <v>0.59649958025345</v>
      </c>
      <c r="H14" s="11" t="n">
        <v>0.353535353535354</v>
      </c>
      <c r="I14" s="11" t="n">
        <v>0.549768518518518</v>
      </c>
      <c r="J14" s="11" t="n">
        <v>0.429101019462465</v>
      </c>
      <c r="K14" s="11" t="n">
        <v>0.24</v>
      </c>
      <c r="L14" s="11" t="n">
        <v>0.3</v>
      </c>
      <c r="M14" s="11" t="n">
        <v>0.468</v>
      </c>
      <c r="N14" s="11" t="n">
        <v>0.121240601503759</v>
      </c>
      <c r="O14" s="11" t="n">
        <v>0.83</v>
      </c>
      <c r="P14" s="11" t="n">
        <v>0.851787523520046</v>
      </c>
      <c r="Q14" s="11" t="n">
        <v>0.384959713518353</v>
      </c>
      <c r="R14" s="4"/>
      <c r="S14" s="11" t="n">
        <v>0.712244897959184</v>
      </c>
      <c r="T14" s="11" t="n">
        <v>0.402061855670103</v>
      </c>
      <c r="U14" s="11" t="n">
        <v>0.806936416184971</v>
      </c>
    </row>
    <row r="15" customFormat="false" ht="15" hidden="false" customHeight="false" outlineLevel="0" collapsed="false">
      <c r="A15" s="4" t="s">
        <v>40</v>
      </c>
      <c r="B15" s="4" t="s">
        <v>31</v>
      </c>
      <c r="C15" s="4" t="s">
        <v>29</v>
      </c>
      <c r="D15" s="5" t="n">
        <v>39.4845585889147</v>
      </c>
      <c r="E15" s="11" t="n">
        <v>0.37018</v>
      </c>
      <c r="F15" s="11" t="n">
        <v>0.47805</v>
      </c>
      <c r="G15" s="11" t="n">
        <v>0.513275115886399</v>
      </c>
      <c r="H15" s="11" t="n">
        <v>0.146464646464646</v>
      </c>
      <c r="I15" s="11" t="n">
        <v>0.574074074074074</v>
      </c>
      <c r="J15" s="11" t="n">
        <v>0.422150139017609</v>
      </c>
      <c r="K15" s="11" t="n">
        <v>0.262</v>
      </c>
      <c r="L15" s="11" t="n">
        <v>0.228571428571429</v>
      </c>
      <c r="M15" s="11" t="n">
        <v>0.5775</v>
      </c>
      <c r="N15" s="11" t="n">
        <v>0.0923076923076923</v>
      </c>
      <c r="O15" s="11" t="n">
        <v>0.803333333333333</v>
      </c>
      <c r="P15" s="4"/>
      <c r="Q15" s="4"/>
      <c r="R15" s="4"/>
      <c r="S15" s="11" t="n">
        <v>0.695918367346939</v>
      </c>
      <c r="T15" s="11" t="n">
        <v>0.364948453608247</v>
      </c>
      <c r="U15" s="11" t="n">
        <v>0.813872832369942</v>
      </c>
    </row>
    <row r="16" customFormat="false" ht="15" hidden="false" customHeight="false" outlineLevel="0" collapsed="false">
      <c r="A16" s="4" t="s">
        <v>41</v>
      </c>
      <c r="B16" s="4" t="s">
        <v>39</v>
      </c>
      <c r="C16" s="4" t="s">
        <v>25</v>
      </c>
      <c r="D16" s="5" t="n">
        <v>38.1856370742927</v>
      </c>
      <c r="E16" s="11" t="n">
        <v>0.41864</v>
      </c>
      <c r="F16" s="11" t="n">
        <v>0.4893</v>
      </c>
      <c r="G16" s="11" t="n">
        <v>0.471363134059777</v>
      </c>
      <c r="H16" s="11" t="n">
        <v>0.101010101010101</v>
      </c>
      <c r="I16" s="11" t="n">
        <v>0.523148148148148</v>
      </c>
      <c r="J16" s="11" t="n">
        <v>0.418906394810009</v>
      </c>
      <c r="K16" s="11" t="n">
        <v>0.246</v>
      </c>
      <c r="L16" s="11" t="n">
        <v>0.271428571428571</v>
      </c>
      <c r="M16" s="11" t="n">
        <v>0.455166666666667</v>
      </c>
      <c r="N16" s="11" t="n">
        <v>0.109819516671765</v>
      </c>
      <c r="O16" s="11" t="n">
        <v>0.79</v>
      </c>
      <c r="P16" s="4"/>
      <c r="Q16" s="4"/>
      <c r="R16" s="4"/>
      <c r="S16" s="11" t="n">
        <v>0.662585034013605</v>
      </c>
      <c r="T16" s="11" t="n">
        <v>0.296907216494845</v>
      </c>
      <c r="U16" s="11" t="n">
        <v>0.794797687861272</v>
      </c>
    </row>
    <row r="17" customFormat="false" ht="15" hidden="false" customHeight="false" outlineLevel="0" collapsed="false">
      <c r="A17" s="4" t="s">
        <v>42</v>
      </c>
      <c r="B17" s="4" t="s">
        <v>43</v>
      </c>
      <c r="C17" s="4" t="s">
        <v>23</v>
      </c>
      <c r="D17" s="5" t="n">
        <v>37.5048489690841</v>
      </c>
      <c r="E17" s="11" t="n">
        <v>0.41969</v>
      </c>
      <c r="F17" s="11" t="n">
        <v>0.494665</v>
      </c>
      <c r="G17" s="11" t="n">
        <v>0.502086176375619</v>
      </c>
      <c r="H17" s="11" t="n">
        <v>0.116161616161616</v>
      </c>
      <c r="I17" s="11" t="n">
        <v>0.53587962962963</v>
      </c>
      <c r="J17" s="11" t="n">
        <v>0.394810009267841</v>
      </c>
      <c r="K17" s="11" t="n">
        <v>0.24</v>
      </c>
      <c r="L17" s="11" t="n">
        <v>0.205714285714286</v>
      </c>
      <c r="M17" s="11" t="n">
        <v>0.427333333333333</v>
      </c>
      <c r="N17" s="11" t="n">
        <v>0.0742142025611176</v>
      </c>
      <c r="O17" s="11" t="n">
        <v>0.836666666666667</v>
      </c>
      <c r="P17" s="11" t="n">
        <v>0.878998407873788</v>
      </c>
      <c r="Q17" s="11" t="n">
        <v>0.408236347358997</v>
      </c>
      <c r="R17" s="4"/>
      <c r="S17" s="4"/>
      <c r="T17" s="11" t="n">
        <v>0.311340206185567</v>
      </c>
      <c r="U17" s="11" t="n">
        <v>0.785549132947977</v>
      </c>
    </row>
    <row r="18" customFormat="false" ht="15" hidden="false" customHeight="false" outlineLevel="0" collapsed="false">
      <c r="A18" s="4" t="s">
        <v>44</v>
      </c>
      <c r="B18" s="4" t="s">
        <v>43</v>
      </c>
      <c r="C18" s="4" t="s">
        <v>25</v>
      </c>
      <c r="D18" s="5" t="n">
        <v>34.772048822309</v>
      </c>
      <c r="E18" s="11" t="n">
        <v>0.384005</v>
      </c>
      <c r="F18" s="11" t="n">
        <v>0.464235</v>
      </c>
      <c r="G18" s="11" t="n">
        <v>0.425977673742859</v>
      </c>
      <c r="H18" s="11" t="n">
        <v>0.0353535353535354</v>
      </c>
      <c r="I18" s="11" t="n">
        <v>0.50462962962963</v>
      </c>
      <c r="J18" s="11" t="n">
        <v>0.369786839666358</v>
      </c>
      <c r="K18" s="11" t="n">
        <v>0.238</v>
      </c>
      <c r="L18" s="11" t="n">
        <v>0.205714285714286</v>
      </c>
      <c r="M18" s="11" t="n">
        <v>0.4245</v>
      </c>
      <c r="N18" s="11" t="n">
        <v>0.0752968433246453</v>
      </c>
      <c r="O18" s="11" t="n">
        <v>0.816666666666667</v>
      </c>
      <c r="P18" s="4"/>
      <c r="Q18" s="4"/>
      <c r="R18" s="4"/>
      <c r="S18" s="4"/>
      <c r="T18" s="11" t="n">
        <v>0.28659793814433</v>
      </c>
      <c r="U18" s="11" t="n">
        <v>0.785549132947977</v>
      </c>
    </row>
    <row r="19" customFormat="false" ht="15" hidden="false" customHeight="false" outlineLevel="0" collapsed="false">
      <c r="A19" s="4" t="s">
        <v>45</v>
      </c>
      <c r="B19" s="4" t="s">
        <v>39</v>
      </c>
      <c r="C19" s="4" t="s">
        <v>27</v>
      </c>
      <c r="D19" s="5" t="n">
        <v>34.4910058067555</v>
      </c>
      <c r="E19" s="11" t="n">
        <v>0.35068</v>
      </c>
      <c r="F19" s="11" t="n">
        <v>0.45768</v>
      </c>
      <c r="G19" s="11" t="n">
        <v>0.420203829518278</v>
      </c>
      <c r="H19" s="11" t="n">
        <v>0.0151515151515152</v>
      </c>
      <c r="I19" s="11" t="n">
        <v>0.524305555555556</v>
      </c>
      <c r="J19" s="11" t="n">
        <v>0.385078776645042</v>
      </c>
      <c r="K19" s="11" t="n">
        <v>0.208</v>
      </c>
      <c r="L19" s="11" t="n">
        <v>0.228571428571429</v>
      </c>
      <c r="M19" s="11" t="n">
        <v>0.454833333333333</v>
      </c>
      <c r="N19" s="11" t="n">
        <v>0.1021094466524</v>
      </c>
      <c r="O19" s="11" t="n">
        <v>0.776666666666667</v>
      </c>
      <c r="P19" s="4"/>
      <c r="Q19" s="4"/>
      <c r="R19" s="4"/>
      <c r="S19" s="11" t="n">
        <v>0.64421768707483</v>
      </c>
      <c r="T19" s="11" t="n">
        <v>0.28659793814433</v>
      </c>
      <c r="U19" s="11" t="n">
        <v>0.790751445086705</v>
      </c>
    </row>
    <row r="20" customFormat="false" ht="15" hidden="false" customHeight="false" outlineLevel="0" collapsed="false">
      <c r="A20" s="4" t="s">
        <v>46</v>
      </c>
      <c r="B20" s="4" t="s">
        <v>31</v>
      </c>
      <c r="C20" s="4" t="s">
        <v>33</v>
      </c>
      <c r="D20" s="5" t="n">
        <v>33.7979387646002</v>
      </c>
      <c r="E20" s="11" t="n">
        <v>0.27103</v>
      </c>
      <c r="F20" s="11" t="n">
        <v>0.427425</v>
      </c>
      <c r="G20" s="11" t="n">
        <v>0.409856701134481</v>
      </c>
      <c r="H20" s="11" t="n">
        <v>0.0101010101010101</v>
      </c>
      <c r="I20" s="11" t="n">
        <v>0.563657407407407</v>
      </c>
      <c r="J20" s="11" t="n">
        <v>0.393883225208526</v>
      </c>
      <c r="K20" s="11" t="n">
        <v>0.21</v>
      </c>
      <c r="L20" s="11" t="n">
        <v>0.148571428571429</v>
      </c>
      <c r="M20" s="11" t="n">
        <v>0.571666666666667</v>
      </c>
      <c r="N20" s="11" t="n">
        <v>0.105836575875486</v>
      </c>
      <c r="O20" s="11" t="n">
        <v>0.78</v>
      </c>
      <c r="P20" s="4"/>
      <c r="Q20" s="4"/>
      <c r="R20" s="4"/>
      <c r="S20" s="11" t="n">
        <v>0.66530612244898</v>
      </c>
      <c r="T20" s="11" t="n">
        <v>0.290721649484536</v>
      </c>
      <c r="U20" s="11" t="n">
        <v>0.809826589595376</v>
      </c>
    </row>
    <row r="21" customFormat="false" ht="15" hidden="false" customHeight="false" outlineLevel="0" collapsed="false">
      <c r="A21" s="4" t="s">
        <v>47</v>
      </c>
      <c r="B21" s="4" t="s">
        <v>43</v>
      </c>
      <c r="C21" s="4" t="s">
        <v>27</v>
      </c>
      <c r="D21" s="5" t="n">
        <v>32.9059788719235</v>
      </c>
      <c r="E21" s="11" t="n">
        <v>0.33642</v>
      </c>
      <c r="F21" s="11" t="n">
        <v>0.43814</v>
      </c>
      <c r="G21" s="11" t="n">
        <v>0.355879429306038</v>
      </c>
      <c r="H21" s="11" t="n">
        <v>0.0252525252525253</v>
      </c>
      <c r="I21" s="11" t="n">
        <v>0.516203703703704</v>
      </c>
      <c r="J21" s="11" t="n">
        <v>0.334105653382762</v>
      </c>
      <c r="K21" s="4"/>
      <c r="L21" s="11" t="n">
        <v>0.165714285714286</v>
      </c>
      <c r="M21" s="11" t="n">
        <v>0.417833333333333</v>
      </c>
      <c r="N21" s="11" t="n">
        <v>0.0761523046092184</v>
      </c>
      <c r="O21" s="11" t="n">
        <v>0.803333333333333</v>
      </c>
      <c r="P21" s="4"/>
      <c r="Q21" s="4"/>
      <c r="R21" s="4"/>
      <c r="S21" s="4"/>
      <c r="T21" s="11" t="n">
        <v>0.251546391752577</v>
      </c>
      <c r="U21" s="11" t="n">
        <v>0.775722543352601</v>
      </c>
    </row>
    <row r="22" customFormat="false" ht="15" hidden="false" customHeight="false" outlineLevel="0" collapsed="false">
      <c r="A22" s="4" t="s">
        <v>48</v>
      </c>
      <c r="B22" s="4" t="s">
        <v>39</v>
      </c>
      <c r="C22" s="4" t="s">
        <v>29</v>
      </c>
      <c r="D22" s="5" t="n">
        <v>32.7587708276955</v>
      </c>
      <c r="E22" s="11" t="n">
        <v>0.27057</v>
      </c>
      <c r="F22" s="11" t="n">
        <v>0.409685</v>
      </c>
      <c r="G22" s="11" t="n">
        <v>0.33536040384185</v>
      </c>
      <c r="H22" s="11" t="n">
        <v>0.0101010101010101</v>
      </c>
      <c r="I22" s="11" t="n">
        <v>0.50462962962963</v>
      </c>
      <c r="J22" s="11" t="n">
        <v>0.332715477293791</v>
      </c>
      <c r="K22" s="4"/>
      <c r="L22" s="11" t="n">
        <v>0.174285714285714</v>
      </c>
      <c r="M22" s="11" t="n">
        <v>0.446</v>
      </c>
      <c r="N22" s="11" t="n">
        <v>0.102286401925391</v>
      </c>
      <c r="O22" s="11" t="n">
        <v>0.74</v>
      </c>
      <c r="P22" s="4"/>
      <c r="Q22" s="4"/>
      <c r="R22" s="4"/>
      <c r="S22" s="11" t="n">
        <v>0.621768707482993</v>
      </c>
      <c r="T22" s="11" t="n">
        <v>0.255670103092783</v>
      </c>
      <c r="U22" s="11" t="n">
        <v>0.767630057803468</v>
      </c>
    </row>
    <row r="23" customFormat="false" ht="15" hidden="false" customHeight="false" outlineLevel="0" collapsed="false">
      <c r="A23" s="4" t="s">
        <v>49</v>
      </c>
      <c r="B23" s="4" t="s">
        <v>39</v>
      </c>
      <c r="C23" s="4" t="s">
        <v>33</v>
      </c>
      <c r="D23" s="5" t="n">
        <v>27.8765112356137</v>
      </c>
      <c r="E23" s="11" t="n">
        <v>0.25709</v>
      </c>
      <c r="F23" s="11" t="n">
        <v>0.33961</v>
      </c>
      <c r="G23" s="11" t="n">
        <v>0.291063761380082</v>
      </c>
      <c r="H23" s="11" t="n">
        <v>0.0151515151515152</v>
      </c>
      <c r="I23" s="11" t="n">
        <v>0.498842592592593</v>
      </c>
      <c r="J23" s="11" t="n">
        <v>0.291936978683967</v>
      </c>
      <c r="K23" s="4"/>
      <c r="L23" s="11" t="n">
        <v>0.0942857142857143</v>
      </c>
      <c r="M23" s="11" t="n">
        <v>0.437333333333333</v>
      </c>
      <c r="N23" s="11" t="n">
        <v>0.101303317535545</v>
      </c>
      <c r="O23" s="11" t="n">
        <v>0.713333333333333</v>
      </c>
      <c r="P23" s="4"/>
      <c r="Q23" s="4"/>
      <c r="R23" s="4"/>
      <c r="S23" s="11" t="n">
        <v>0.596598639455782</v>
      </c>
      <c r="T23" s="11" t="n">
        <v>0.187628865979381</v>
      </c>
      <c r="U23" s="11" t="n">
        <v>0.761271676300578</v>
      </c>
    </row>
    <row r="24" customFormat="false" ht="15" hidden="false" customHeight="false" outlineLevel="0" collapsed="false">
      <c r="A24" s="4" t="s">
        <v>50</v>
      </c>
      <c r="B24" s="4" t="s">
        <v>43</v>
      </c>
      <c r="C24" s="4" t="s">
        <v>29</v>
      </c>
      <c r="D24" s="5" t="n">
        <v>25.7828734221316</v>
      </c>
      <c r="E24" s="11" t="n">
        <v>0.216685</v>
      </c>
      <c r="F24" s="11" t="n">
        <v>0.34821</v>
      </c>
      <c r="G24" s="11" t="n">
        <v>0.230745388030759</v>
      </c>
      <c r="H24" s="11" t="n">
        <v>0.00505050505050505</v>
      </c>
      <c r="I24" s="11" t="n">
        <v>0.467592592592593</v>
      </c>
      <c r="J24" s="11" t="n">
        <v>0.257645968489342</v>
      </c>
      <c r="K24" s="4"/>
      <c r="L24" s="11" t="n">
        <v>0.0485714285714286</v>
      </c>
      <c r="M24" s="11" t="n">
        <v>0.407</v>
      </c>
      <c r="N24" s="11" t="n">
        <v>0.0913434513771781</v>
      </c>
      <c r="O24" s="11" t="n">
        <v>0.75</v>
      </c>
      <c r="P24" s="4"/>
      <c r="Q24" s="4"/>
      <c r="R24" s="4"/>
      <c r="S24" s="4"/>
      <c r="T24" s="11" t="n">
        <v>0.177319587628866</v>
      </c>
      <c r="U24" s="11" t="n">
        <v>0.758381502890173</v>
      </c>
    </row>
    <row r="25" customFormat="false" ht="15" hidden="false" customHeight="false" outlineLevel="0" collapsed="false">
      <c r="A25" s="4" t="s">
        <v>51</v>
      </c>
      <c r="B25" s="4" t="s">
        <v>39</v>
      </c>
      <c r="C25" s="4" t="s">
        <v>35</v>
      </c>
      <c r="D25" s="5" t="n">
        <v>22.3001011790774</v>
      </c>
      <c r="E25" s="11" t="n">
        <v>0.223345</v>
      </c>
      <c r="F25" s="11" t="n">
        <v>0.334315</v>
      </c>
      <c r="G25" s="4"/>
      <c r="H25" s="4"/>
      <c r="I25" s="4"/>
      <c r="J25" s="11" t="n">
        <v>0.113994439295644</v>
      </c>
      <c r="K25" s="4"/>
      <c r="L25" s="11" t="n">
        <v>0.02</v>
      </c>
      <c r="M25" s="11" t="n">
        <v>0.368166666666667</v>
      </c>
      <c r="N25" s="11" t="n">
        <v>0.0498549195462938</v>
      </c>
      <c r="O25" s="11" t="n">
        <v>0.586666666666667</v>
      </c>
      <c r="P25" s="4"/>
      <c r="Q25" s="4"/>
      <c r="R25" s="4"/>
      <c r="S25" s="4"/>
      <c r="T25" s="11" t="n">
        <v>0.156701030927835</v>
      </c>
      <c r="U25" s="11" t="n">
        <v>0.667052023121387</v>
      </c>
    </row>
    <row r="26" customFormat="false" ht="15" hidden="false" customHeight="false" outlineLevel="0" collapsed="false">
      <c r="A26" s="4" t="s">
        <v>52</v>
      </c>
      <c r="B26" s="4" t="s">
        <v>43</v>
      </c>
      <c r="C26" s="4" t="s">
        <v>33</v>
      </c>
      <c r="D26" s="5" t="n">
        <v>21.834227046588</v>
      </c>
      <c r="E26" s="11" t="n">
        <v>0.12102</v>
      </c>
      <c r="F26" s="11" t="n">
        <v>0.290895</v>
      </c>
      <c r="G26" s="11" t="n">
        <v>0.116921622582716</v>
      </c>
      <c r="H26" s="11" t="n">
        <v>0</v>
      </c>
      <c r="I26" s="11" t="n">
        <v>0.460648148148148</v>
      </c>
      <c r="J26" s="11" t="n">
        <v>0.198331788693234</v>
      </c>
      <c r="K26" s="4"/>
      <c r="L26" s="11" t="n">
        <v>0.0257142857142857</v>
      </c>
      <c r="M26" s="11" t="n">
        <v>0.396166666666667</v>
      </c>
      <c r="N26" s="11" t="n">
        <v>0.101297267457908</v>
      </c>
      <c r="O26" s="11" t="n">
        <v>0.7</v>
      </c>
      <c r="P26" s="4"/>
      <c r="Q26" s="4"/>
      <c r="R26" s="4"/>
      <c r="S26" s="4"/>
      <c r="T26" s="11" t="n">
        <v>0.127835051546392</v>
      </c>
      <c r="U26" s="11" t="n">
        <v>0.739884393063584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5" min="4" style="0" width="12"/>
    <col collapsed="false" customWidth="true" hidden="false" outlineLevel="0" max="7" min="6" style="0" width="11"/>
    <col collapsed="false" customWidth="true" hidden="false" outlineLevel="0" max="9" min="8" style="0" width="13"/>
    <col collapsed="false" customWidth="true" hidden="false" outlineLevel="0" max="10" min="10" style="0" width="12"/>
  </cols>
  <sheetData>
    <row r="1" customFormat="false" ht="16.15" hidden="false" customHeight="false" outlineLevel="0" collapsed="false">
      <c r="A1" s="1" t="s">
        <v>122</v>
      </c>
    </row>
    <row r="2" customFormat="false" ht="15" hidden="false" customHeight="false" outlineLevel="0" collapsed="false">
      <c r="A2" s="2" t="s">
        <v>123</v>
      </c>
    </row>
    <row r="4" customFormat="false" ht="31.5" hidden="false" customHeight="true" outlineLevel="0" collapsed="false">
      <c r="A4" s="3" t="s">
        <v>2</v>
      </c>
      <c r="B4" s="3" t="s">
        <v>6</v>
      </c>
      <c r="C4" s="3" t="s">
        <v>124</v>
      </c>
      <c r="D4" s="3" t="s">
        <v>125</v>
      </c>
      <c r="E4" s="3" t="s">
        <v>126</v>
      </c>
      <c r="F4" s="3" t="s">
        <v>127</v>
      </c>
      <c r="G4" s="3" t="s">
        <v>128</v>
      </c>
      <c r="H4" s="3" t="s">
        <v>129</v>
      </c>
      <c r="I4" s="3" t="s">
        <v>130</v>
      </c>
      <c r="J4" s="3" t="s">
        <v>131</v>
      </c>
    </row>
    <row r="5" customFormat="false" ht="15" hidden="false" customHeight="false" outlineLevel="0" collapsed="false">
      <c r="A5" s="4" t="s">
        <v>21</v>
      </c>
      <c r="B5" s="6" t="n">
        <v>3.26</v>
      </c>
      <c r="C5" s="28" t="n">
        <v>0.525713343588283</v>
      </c>
      <c r="D5" s="28" t="n">
        <v>0.834561902235224</v>
      </c>
      <c r="E5" s="28" t="n">
        <v>0.700934297550455</v>
      </c>
      <c r="F5" s="28" t="n">
        <v>0.981290375469742</v>
      </c>
      <c r="G5" s="28" t="n">
        <v>0.215000394639713</v>
      </c>
      <c r="H5" s="7" t="n">
        <v>10514.2668717657</v>
      </c>
      <c r="I5" s="7" t="n">
        <v>16691.2380447045</v>
      </c>
      <c r="J5" s="11" t="n">
        <v>0.613524399283398</v>
      </c>
    </row>
    <row r="6" customFormat="false" ht="15" hidden="false" customHeight="false" outlineLevel="0" collapsed="false">
      <c r="A6" s="4" t="s">
        <v>24</v>
      </c>
      <c r="B6" s="6" t="n">
        <v>2.31</v>
      </c>
      <c r="C6" s="28" t="n">
        <v>0.415934696744694</v>
      </c>
      <c r="D6" s="28" t="n">
        <v>0.429124351549936</v>
      </c>
      <c r="E6" s="28" t="n">
        <v>0.522980270012415</v>
      </c>
      <c r="F6" s="28" t="n">
        <v>0.723705400660657</v>
      </c>
      <c r="G6" s="28" t="n">
        <v>0.217051193301374</v>
      </c>
      <c r="H6" s="7" t="n">
        <v>8318.69393489388</v>
      </c>
      <c r="I6" s="7" t="n">
        <v>8582.48703099872</v>
      </c>
      <c r="J6" s="11" t="n">
        <v>0.507803412242842</v>
      </c>
    </row>
    <row r="7" customFormat="false" ht="15" hidden="false" customHeight="false" outlineLevel="0" collapsed="false">
      <c r="A7" s="4" t="s">
        <v>26</v>
      </c>
      <c r="B7" s="6" t="n">
        <v>1.72</v>
      </c>
      <c r="C7" s="28" t="n">
        <v>0.354360157704646</v>
      </c>
      <c r="D7" s="28" t="n">
        <v>0.235382819496096</v>
      </c>
      <c r="E7" s="28" t="n">
        <v>0.412884464159819</v>
      </c>
      <c r="F7" s="28" t="n">
        <v>0.501865542056579</v>
      </c>
      <c r="G7" s="28" t="n">
        <v>0.216940270186295</v>
      </c>
      <c r="H7" s="7" t="n">
        <v>7087.20315409292</v>
      </c>
      <c r="I7" s="7" t="n">
        <v>4707.65638992191</v>
      </c>
      <c r="J7" s="11" t="n">
        <v>0.399126435147556</v>
      </c>
    </row>
    <row r="8" customFormat="false" ht="15" hidden="false" customHeight="false" outlineLevel="0" collapsed="false">
      <c r="A8" s="4" t="s">
        <v>28</v>
      </c>
      <c r="B8" s="6" t="n">
        <v>1.54</v>
      </c>
      <c r="C8" s="28" t="n">
        <v>0.308394994099226</v>
      </c>
      <c r="D8" s="28" t="n">
        <v>0.171085038583554</v>
      </c>
      <c r="E8" s="28" t="n">
        <v>0.363854904115692</v>
      </c>
      <c r="F8" s="28" t="n">
        <v>0.480445130592747</v>
      </c>
      <c r="G8" s="28" t="n">
        <v>0.216869254610898</v>
      </c>
      <c r="H8" s="7" t="n">
        <v>6167.89988198452</v>
      </c>
      <c r="I8" s="7" t="n">
        <v>3421.70077167109</v>
      </c>
      <c r="J8" s="11" t="n">
        <v>0.356813711903634</v>
      </c>
    </row>
    <row r="9" customFormat="false" ht="15" hidden="false" customHeight="false" outlineLevel="0" collapsed="false">
      <c r="A9" s="4" t="s">
        <v>30</v>
      </c>
      <c r="B9" s="6" t="n">
        <v>1.99</v>
      </c>
      <c r="C9" s="28" t="n">
        <v>0.240578584423688</v>
      </c>
      <c r="D9" s="28" t="n">
        <v>0.345608900277218</v>
      </c>
      <c r="E9" s="28" t="n">
        <v>0.326365865582305</v>
      </c>
      <c r="F9" s="28" t="n">
        <v>0.989834119197824</v>
      </c>
      <c r="G9" s="28" t="n">
        <v>0.0860679113727158</v>
      </c>
      <c r="H9" s="7" t="n">
        <v>12028.9292211844</v>
      </c>
      <c r="I9" s="7" t="n">
        <v>17280.4450138609</v>
      </c>
      <c r="J9" s="11" t="n">
        <v>0.589587129516842</v>
      </c>
    </row>
    <row r="10" customFormat="false" ht="15" hidden="false" customHeight="false" outlineLevel="0" collapsed="false">
      <c r="A10" s="4" t="s">
        <v>32</v>
      </c>
      <c r="B10" s="6" t="n">
        <v>0.82</v>
      </c>
      <c r="C10" s="28" t="n">
        <v>0.174753138957876</v>
      </c>
      <c r="D10" s="28" t="n">
        <v>0.0468843008776561</v>
      </c>
      <c r="E10" s="28" t="n">
        <v>0.193942302192377</v>
      </c>
      <c r="F10" s="28" t="n">
        <v>0.185362492442672</v>
      </c>
      <c r="G10" s="28" t="n">
        <v>0.216571694095025</v>
      </c>
      <c r="H10" s="7" t="n">
        <v>3495.06277915752</v>
      </c>
      <c r="I10" s="7" t="n">
        <v>937.686017553121</v>
      </c>
      <c r="J10" s="11" t="n">
        <v>0.211538344023534</v>
      </c>
    </row>
    <row r="11" customFormat="false" ht="15" hidden="false" customHeight="false" outlineLevel="0" collapsed="false">
      <c r="A11" s="4" t="s">
        <v>34</v>
      </c>
      <c r="B11" s="6" t="n">
        <v>1.71</v>
      </c>
      <c r="C11" s="28" t="n">
        <v>0.381487119585024</v>
      </c>
      <c r="D11" s="28" t="n">
        <v>0</v>
      </c>
      <c r="E11" s="28" t="n">
        <v>0.405070168043706</v>
      </c>
      <c r="F11" s="28" t="n">
        <v>0.708270582107437</v>
      </c>
      <c r="G11" s="28" t="n">
        <v>0.217124293698199</v>
      </c>
      <c r="H11" s="7" t="n">
        <v>7629.74239170048</v>
      </c>
      <c r="I11" s="7" t="n">
        <v>0</v>
      </c>
      <c r="J11" s="4"/>
    </row>
    <row r="12" customFormat="false" ht="15" hidden="false" customHeight="false" outlineLevel="0" collapsed="false">
      <c r="A12" s="4" t="s">
        <v>36</v>
      </c>
      <c r="B12" s="6" t="n">
        <v>1.18</v>
      </c>
      <c r="C12" s="28" t="n">
        <v>0.189007920204923</v>
      </c>
      <c r="D12" s="28" t="n">
        <v>0.202518533153239</v>
      </c>
      <c r="E12" s="28" t="n">
        <v>0.255202612030726</v>
      </c>
      <c r="F12" s="28" t="n">
        <v>0.454890114892828</v>
      </c>
      <c r="G12" s="28" t="n">
        <v>0.0827437579090119</v>
      </c>
      <c r="H12" s="7" t="n">
        <v>9450.39601024613</v>
      </c>
      <c r="I12" s="7" t="n">
        <v>10125.9266576619</v>
      </c>
      <c r="J12" s="11" t="n">
        <v>0.517254366640373</v>
      </c>
    </row>
    <row r="13" customFormat="false" ht="15" hidden="false" customHeight="false" outlineLevel="0" collapsed="false">
      <c r="A13" s="4" t="s">
        <v>37</v>
      </c>
      <c r="B13" s="6" t="n">
        <v>0.81</v>
      </c>
      <c r="C13" s="28" t="n">
        <v>0.147493051270945</v>
      </c>
      <c r="D13" s="28" t="n">
        <v>0.117506441206105</v>
      </c>
      <c r="E13" s="28" t="n">
        <v>0.183757558574736</v>
      </c>
      <c r="F13" s="28" t="n">
        <v>0.277629262027192</v>
      </c>
      <c r="G13" s="28" t="n">
        <v>0.0815963770555188</v>
      </c>
      <c r="H13" s="7" t="n">
        <v>7374.65256354726</v>
      </c>
      <c r="I13" s="7" t="n">
        <v>5875.32206030527</v>
      </c>
      <c r="J13" s="11" t="n">
        <v>0.443420532853228</v>
      </c>
    </row>
    <row r="14" customFormat="false" ht="15" hidden="false" customHeight="false" outlineLevel="0" collapsed="false">
      <c r="A14" s="4" t="s">
        <v>38</v>
      </c>
      <c r="B14" s="6" t="n">
        <v>1.4</v>
      </c>
      <c r="C14" s="28" t="n">
        <v>0.154242507104647</v>
      </c>
      <c r="D14" s="28" t="n">
        <v>0.312527060079279</v>
      </c>
      <c r="E14" s="28" t="n">
        <v>0.227007826609084</v>
      </c>
      <c r="F14" s="28" t="n">
        <v>0.659549120385529</v>
      </c>
      <c r="G14" s="28" t="n">
        <v>0.0453970470906123</v>
      </c>
      <c r="H14" s="7" t="n">
        <v>12853.5422587206</v>
      </c>
      <c r="I14" s="7" t="n">
        <v>26043.9216732733</v>
      </c>
      <c r="J14" s="11" t="n">
        <v>0.669552584954644</v>
      </c>
    </row>
    <row r="15" customFormat="false" ht="15" hidden="false" customHeight="false" outlineLevel="0" collapsed="false">
      <c r="A15" s="4" t="s">
        <v>40</v>
      </c>
      <c r="B15" s="6" t="n">
        <v>0.5</v>
      </c>
      <c r="C15" s="28" t="n">
        <v>0.104236659576611</v>
      </c>
      <c r="D15" s="28" t="n">
        <v>0.0532439919352263</v>
      </c>
      <c r="E15" s="28" t="n">
        <v>0.117750346908069</v>
      </c>
      <c r="F15" s="28" t="n">
        <v>0.148205521134349</v>
      </c>
      <c r="G15" s="28" t="n">
        <v>0.0815561108840417</v>
      </c>
      <c r="H15" s="7" t="n">
        <v>5211.83297883054</v>
      </c>
      <c r="I15" s="7" t="n">
        <v>2662.19959676132</v>
      </c>
      <c r="J15" s="11" t="n">
        <v>0.338100024988737</v>
      </c>
    </row>
    <row r="16" customFormat="false" ht="15" hidden="false" customHeight="false" outlineLevel="0" collapsed="false">
      <c r="A16" s="4" t="s">
        <v>41</v>
      </c>
      <c r="B16" s="6" t="n">
        <v>0.63</v>
      </c>
      <c r="C16" s="28" t="n">
        <v>0.106268370494804</v>
      </c>
      <c r="D16" s="28" t="n">
        <v>0.138139800620993</v>
      </c>
      <c r="E16" s="28" t="n">
        <v>0.127750771197748</v>
      </c>
      <c r="F16" s="28" t="n">
        <v>0.218245741096324</v>
      </c>
      <c r="G16" s="28" t="n">
        <v>0.0413864512825588</v>
      </c>
      <c r="H16" s="7" t="n">
        <v>8855.69754123365</v>
      </c>
      <c r="I16" s="7" t="n">
        <v>11511.6500517494</v>
      </c>
      <c r="J16" s="11" t="n">
        <v>0.565202557616837</v>
      </c>
    </row>
    <row r="17" customFormat="false" ht="15" hidden="false" customHeight="false" outlineLevel="0" collapsed="false">
      <c r="A17" s="4" t="s">
        <v>42</v>
      </c>
      <c r="B17" s="6" t="n">
        <v>0.18</v>
      </c>
      <c r="C17" s="28" t="n">
        <v>0.0157636054679952</v>
      </c>
      <c r="D17" s="28" t="n">
        <v>0.033717902353191</v>
      </c>
      <c r="E17" s="28" t="n">
        <v>0.026430496259982</v>
      </c>
      <c r="F17" s="28" t="n">
        <v>0.0977446808244728</v>
      </c>
      <c r="G17" s="28" t="n">
        <v>0.00464057661724995</v>
      </c>
      <c r="H17" s="7" t="n">
        <v>13136.337889996</v>
      </c>
      <c r="I17" s="7" t="n">
        <v>28098.2519609925</v>
      </c>
      <c r="J17" s="11" t="n">
        <v>0.681424142855575</v>
      </c>
    </row>
    <row r="18" customFormat="false" ht="15" hidden="false" customHeight="false" outlineLevel="0" collapsed="false">
      <c r="A18" s="4" t="s">
        <v>44</v>
      </c>
      <c r="B18" s="6" t="n">
        <v>0.09</v>
      </c>
      <c r="C18" s="28" t="n">
        <v>0.0106815596186884</v>
      </c>
      <c r="D18" s="28" t="n">
        <v>0.017667878828088</v>
      </c>
      <c r="E18" s="28" t="n">
        <v>0.0149668528880882</v>
      </c>
      <c r="F18" s="28" t="n">
        <v>0.0378341573488811</v>
      </c>
      <c r="G18" s="28" t="n">
        <v>0.00419235745198236</v>
      </c>
      <c r="H18" s="7" t="n">
        <v>8901.29968224031</v>
      </c>
      <c r="I18" s="7" t="n">
        <v>14723.23235674</v>
      </c>
      <c r="J18" s="11" t="n">
        <v>0.623218792217403</v>
      </c>
    </row>
    <row r="19" customFormat="false" ht="15" hidden="false" customHeight="false" outlineLevel="0" collapsed="false">
      <c r="A19" s="4" t="s">
        <v>45</v>
      </c>
      <c r="B19" s="6" t="n">
        <v>0.34</v>
      </c>
      <c r="C19" s="28" t="n">
        <v>0.0702266037037191</v>
      </c>
      <c r="D19" s="28" t="n">
        <v>0.0652973199249392</v>
      </c>
      <c r="E19" s="28" t="n">
        <v>0.0740648443836583</v>
      </c>
      <c r="F19" s="28" t="n">
        <v>0.0869347504829282</v>
      </c>
      <c r="G19" s="28" t="n">
        <v>0.0413492762996653</v>
      </c>
      <c r="H19" s="7" t="n">
        <v>5852.21697530992</v>
      </c>
      <c r="I19" s="7" t="n">
        <v>5441.44332707827</v>
      </c>
      <c r="J19" s="11" t="n">
        <v>0.481812278268262</v>
      </c>
    </row>
    <row r="20" customFormat="false" ht="15" hidden="false" customHeight="false" outlineLevel="0" collapsed="false">
      <c r="A20" s="4" t="s">
        <v>46</v>
      </c>
      <c r="B20" s="6" t="n">
        <v>0.26</v>
      </c>
      <c r="C20" s="28" t="n">
        <v>0.0627432337289171</v>
      </c>
      <c r="D20" s="28" t="n">
        <v>0.0167447317300877</v>
      </c>
      <c r="E20" s="28" t="n">
        <v>0.0599057791231112</v>
      </c>
      <c r="F20" s="28" t="n">
        <v>0.039762390544461</v>
      </c>
      <c r="G20" s="28" t="n">
        <v>0.0814858090824544</v>
      </c>
      <c r="H20" s="7" t="n">
        <v>3137.16168644585</v>
      </c>
      <c r="I20" s="7" t="n">
        <v>837.236586504385</v>
      </c>
      <c r="J20" s="11" t="n">
        <v>0.21065735368971</v>
      </c>
    </row>
    <row r="21" customFormat="false" ht="15" hidden="false" customHeight="false" outlineLevel="0" collapsed="false">
      <c r="A21" s="4" t="s">
        <v>47</v>
      </c>
      <c r="B21" s="4"/>
      <c r="C21" s="4"/>
      <c r="D21" s="4"/>
      <c r="E21" s="4"/>
      <c r="F21" s="4"/>
      <c r="G21" s="4"/>
      <c r="H21" s="4"/>
      <c r="I21" s="4"/>
      <c r="J21" s="4"/>
    </row>
    <row r="22" customFormat="false" ht="15" hidden="false" customHeight="false" outlineLevel="0" collapsed="false">
      <c r="A22" s="4" t="s">
        <v>48</v>
      </c>
      <c r="B22" s="4"/>
      <c r="C22" s="4"/>
      <c r="D22" s="4"/>
      <c r="E22" s="4"/>
      <c r="F22" s="4"/>
      <c r="G22" s="4"/>
      <c r="H22" s="4"/>
      <c r="I22" s="4"/>
      <c r="J22" s="4"/>
    </row>
    <row r="23" customFormat="false" ht="15" hidden="false" customHeight="false" outlineLevel="0" collapsed="false">
      <c r="A23" s="4" t="s">
        <v>49</v>
      </c>
      <c r="B23" s="4"/>
      <c r="C23" s="4"/>
      <c r="D23" s="4"/>
      <c r="E23" s="4"/>
      <c r="F23" s="4"/>
      <c r="G23" s="4"/>
      <c r="H23" s="4"/>
      <c r="I23" s="4"/>
      <c r="J23" s="4"/>
    </row>
    <row r="24" customFormat="false" ht="15" hidden="false" customHeight="false" outlineLevel="0" collapsed="false">
      <c r="A24" s="4" t="s">
        <v>50</v>
      </c>
      <c r="B24" s="4"/>
      <c r="C24" s="4"/>
      <c r="D24" s="4"/>
      <c r="E24" s="4"/>
      <c r="F24" s="4"/>
      <c r="G24" s="4"/>
      <c r="H24" s="4"/>
      <c r="I24" s="4"/>
      <c r="J24" s="4"/>
    </row>
    <row r="25" customFormat="false" ht="15" hidden="false" customHeight="false" outlineLevel="0" collapsed="false">
      <c r="A25" s="4" t="s">
        <v>51</v>
      </c>
      <c r="B25" s="4"/>
      <c r="C25" s="4"/>
      <c r="D25" s="4"/>
      <c r="E25" s="4"/>
      <c r="F25" s="4"/>
      <c r="G25" s="4"/>
      <c r="H25" s="4"/>
      <c r="I25" s="4"/>
      <c r="J25" s="4"/>
    </row>
    <row r="26" customFormat="false" ht="15" hidden="false" customHeight="false" outlineLevel="0" collapsed="false">
      <c r="A26" s="4" t="s">
        <v>52</v>
      </c>
      <c r="B26" s="4"/>
      <c r="C26" s="4"/>
      <c r="D26" s="4"/>
      <c r="E26" s="4"/>
      <c r="F26" s="4"/>
      <c r="G26" s="4"/>
      <c r="H26" s="4"/>
      <c r="I26" s="4"/>
      <c r="J26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6.15" hidden="false" customHeight="false" outlineLevel="0" collapsed="false">
      <c r="A1" s="1" t="s">
        <v>132</v>
      </c>
    </row>
    <row r="2" customFormat="false" ht="15" hidden="false" customHeight="false" outlineLevel="0" collapsed="false">
      <c r="A2" s="25"/>
    </row>
    <row r="3" customFormat="false" ht="15" hidden="false" customHeight="false" outlineLevel="0" collapsed="false">
      <c r="A3" s="30" t="s">
        <v>133</v>
      </c>
    </row>
    <row r="4" customFormat="false" ht="15" hidden="false" customHeight="false" outlineLevel="0" collapsed="false">
      <c r="A4" s="25" t="s">
        <v>134</v>
      </c>
    </row>
    <row r="5" customFormat="false" ht="15" hidden="false" customHeight="false" outlineLevel="0" collapsed="false">
      <c r="A5" s="25" t="s">
        <v>135</v>
      </c>
    </row>
    <row r="6" customFormat="false" ht="15" hidden="false" customHeight="false" outlineLevel="0" collapsed="false">
      <c r="A6" s="25" t="s">
        <v>136</v>
      </c>
    </row>
    <row r="7" customFormat="false" ht="15" hidden="false" customHeight="false" outlineLevel="0" collapsed="false">
      <c r="A7" s="25"/>
    </row>
    <row r="8" customFormat="false" ht="15" hidden="false" customHeight="false" outlineLevel="0" collapsed="false">
      <c r="A8" s="30" t="s">
        <v>137</v>
      </c>
    </row>
    <row r="9" customFormat="false" ht="15" hidden="false" customHeight="false" outlineLevel="0" collapsed="false">
      <c r="A9" s="25" t="s">
        <v>138</v>
      </c>
    </row>
    <row r="10" customFormat="false" ht="15" hidden="false" customHeight="false" outlineLevel="0" collapsed="false">
      <c r="A10" s="25" t="s">
        <v>139</v>
      </c>
    </row>
    <row r="11" customFormat="false" ht="15" hidden="false" customHeight="false" outlineLevel="0" collapsed="false">
      <c r="A11" s="25" t="s">
        <v>140</v>
      </c>
    </row>
    <row r="12" customFormat="false" ht="15" hidden="false" customHeight="false" outlineLevel="0" collapsed="false">
      <c r="A12" s="25"/>
    </row>
    <row r="13" customFormat="false" ht="15" hidden="false" customHeight="false" outlineLevel="0" collapsed="false">
      <c r="A13" s="30" t="s">
        <v>141</v>
      </c>
    </row>
    <row r="14" customFormat="false" ht="15" hidden="false" customHeight="false" outlineLevel="0" collapsed="false">
      <c r="A14" s="25" t="s">
        <v>142</v>
      </c>
    </row>
    <row r="15" customFormat="false" ht="15" hidden="false" customHeight="false" outlineLevel="0" collapsed="false">
      <c r="A15" s="25" t="s">
        <v>143</v>
      </c>
    </row>
    <row r="16" customFormat="false" ht="15" hidden="false" customHeight="false" outlineLevel="0" collapsed="false">
      <c r="A16" s="25" t="s">
        <v>144</v>
      </c>
    </row>
    <row r="17" customFormat="false" ht="15" hidden="false" customHeight="false" outlineLevel="0" collapsed="false">
      <c r="A17" s="25" t="s">
        <v>145</v>
      </c>
    </row>
    <row r="18" customFormat="false" ht="15" hidden="false" customHeight="false" outlineLevel="0" collapsed="false">
      <c r="A18" s="25" t="s">
        <v>146</v>
      </c>
    </row>
    <row r="19" customFormat="false" ht="15" hidden="false" customHeight="false" outlineLevel="0" collapsed="false">
      <c r="A19" s="25" t="s">
        <v>147</v>
      </c>
    </row>
    <row r="20" customFormat="false" ht="15" hidden="false" customHeight="false" outlineLevel="0" collapsed="false">
      <c r="A20" s="25" t="s">
        <v>148</v>
      </c>
    </row>
    <row r="21" customFormat="false" ht="15" hidden="false" customHeight="false" outlineLevel="0" collapsed="false">
      <c r="A21" s="25"/>
    </row>
    <row r="22" customFormat="false" ht="15" hidden="false" customHeight="false" outlineLevel="0" collapsed="false">
      <c r="A22" s="30" t="s">
        <v>149</v>
      </c>
    </row>
    <row r="23" customFormat="false" ht="15" hidden="false" customHeight="false" outlineLevel="0" collapsed="false">
      <c r="A23" s="25" t="s">
        <v>150</v>
      </c>
    </row>
    <row r="24" customFormat="false" ht="15" hidden="false" customHeight="false" outlineLevel="0" collapsed="false">
      <c r="A24" s="25" t="s">
        <v>151</v>
      </c>
    </row>
    <row r="25" customFormat="false" ht="15" hidden="false" customHeight="false" outlineLevel="0" collapsed="false">
      <c r="A25" s="25" t="s">
        <v>152</v>
      </c>
    </row>
    <row r="26" customFormat="false" ht="15" hidden="false" customHeight="false" outlineLevel="0" collapsed="false">
      <c r="A26" s="25" t="s">
        <v>153</v>
      </c>
    </row>
    <row r="27" customFormat="false" ht="15" hidden="false" customHeight="false" outlineLevel="0" collapsed="false">
      <c r="A27" s="25" t="s">
        <v>154</v>
      </c>
    </row>
    <row r="28" customFormat="false" ht="15" hidden="false" customHeight="false" outlineLevel="0" collapsed="false">
      <c r="A28" s="25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2026-09-08T16:35:36Z</dcterms:created>
  <dc:creator>openpyxl</dc:creator>
  <dc:description/>
  <dc:language>en-US</dc:language>
  <cp:lastModifiedBy/>
  <dcterms:modified xsi:type="dcterms:W3CDTF">2026-09-08T16:36:03Z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