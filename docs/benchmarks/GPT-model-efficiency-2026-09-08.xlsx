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4.xml" ContentType="application/vnd.openxmlformats-officedocument.spreadsheetml.table+xml"/>
  <Override PartName="/xl/tables/table3.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parison" sheetId="1" state="visible" r:id="rId3"/>
    <sheet name="Token detail" sheetId="2" state="visible" r:id="rId4"/>
    <sheet name="Cost detail" sheetId="3" state="visible" r:id="rId5"/>
    <sheet name="Pricing" sheetId="4" state="visible" r:id="rId6"/>
    <sheet name="Notes" sheetId="5" state="visible" r:id="rId7"/>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<sst xmlns="http://schemas.openxmlformats.org/spreadsheetml/2006/main" count="225" uniqueCount="131">
  <si>
    <t xml:space="preserve">GPT model efficiency · Artificial Analysis</t>
  </si>
  <si>
    <t xml:space="preserve">Captured 8 Sep 2026 • sorted by cost/task ascending; missing results last • ratios are proxies, not task success</t>
  </si>
  <si>
    <t xml:space="preserve">Model / effort</t>
  </si>
  <si>
    <t xml:space="preserve">Intelligence</t>
  </si>
  <si>
    <t xml:space="preserve">Score status</t>
  </si>
  <si>
    <t xml:space="preserve">Accuracy</t>
  </si>
  <si>
    <t xml:space="preserve">USD / task</t>
  </si>
  <si>
    <t xml:space="preserve">Output tokens / task</t>
  </si>
  <si>
    <t xml:space="preserve">Points / $</t>
  </si>
  <si>
    <t xml:space="preserve">Cost-efficiency rank</t>
  </si>
  <si>
    <t xml:space="preserve">Points / 1k tokens</t>
  </si>
  <si>
    <t xml:space="preserve">Token-efficiency rank</t>
  </si>
  <si>
    <t xml:space="preserve">Reasoning share</t>
  </si>
  <si>
    <t xml:space="preserve">Frontier?</t>
  </si>
  <si>
    <t xml:space="preserve">Cheapest $/task at this index or better</t>
  </si>
  <si>
    <t xml:space="preserve">Premium vs that</t>
  </si>
  <si>
    <t xml:space="preserve">GPT-5.6 Luna (xhigh)</t>
  </si>
  <si>
    <t xml:space="preserve">Evaluated</t>
  </si>
  <si>
    <t xml:space="preserve">GPT-5.6 Luna (max)</t>
  </si>
  <si>
    <t xml:space="preserve">GPT-5.6 Sol (low)</t>
  </si>
  <si>
    <t xml:space="preserve">GPT-5.6 Terra (high)</t>
  </si>
  <si>
    <t xml:space="preserve">GPT-5.6 Sol (medium)</t>
  </si>
  <si>
    <t xml:space="preserve">GPT-5.6 Terra (xhigh)</t>
  </si>
  <si>
    <t xml:space="preserve">GPT-5.6 Sol (high)</t>
  </si>
  <si>
    <t xml:space="preserve">GPT-6 Astra (low)</t>
  </si>
  <si>
    <t xml:space="preserve">GPT-5.6 Sol (xhigh)</t>
  </si>
  <si>
    <t xml:space="preserve">GPT-5.6 Terra (max)</t>
  </si>
  <si>
    <t xml:space="preserve">GPT-6 Astra (medium)</t>
  </si>
  <si>
    <t xml:space="preserve">GPT-6 Astra (Non-reasoning)</t>
  </si>
  <si>
    <t xml:space="preserve">GPT-6 Astra (high)</t>
  </si>
  <si>
    <t xml:space="preserve">GPT-5.6 Sol (max)</t>
  </si>
  <si>
    <t xml:space="preserve">GPT-6 Astra (xhigh)</t>
  </si>
  <si>
    <t xml:space="preserve">GPT-6 Astra (max)</t>
  </si>
  <si>
    <t xml:space="preserve">GPT-5.6 Luna (high)</t>
  </si>
  <si>
    <t xml:space="preserve">Estimated</t>
  </si>
  <si>
    <t xml:space="preserve">GPT-5.6 Terra (medium)</t>
  </si>
  <si>
    <t xml:space="preserve">GPT-5.6 Terra (low)</t>
  </si>
  <si>
    <t xml:space="preserve">GPT-5.6 Luna (medium)</t>
  </si>
  <si>
    <t xml:space="preserve">GPT-5.6 Terra (Non-reasoning)</t>
  </si>
  <si>
    <t xml:space="preserve">GPT-5.6 Luna (low)</t>
  </si>
  <si>
    <t xml:space="preserve">Output-token use</t>
  </si>
  <si>
    <t xml:space="preserve">Source values • weighted per-task averages and unweighted evaluation totals • blanks = unavailable</t>
  </si>
  <si>
    <t xml:space="preserve">Omniscience accuracy</t>
  </si>
  <si>
    <t xml:space="preserve">Answer tokens / task</t>
  </si>
  <si>
    <t xml:space="preserve">Reasoning tokens / task</t>
  </si>
  <si>
    <t xml:space="preserve">Total output tokens</t>
  </si>
  <si>
    <t xml:space="preserve">Total answer tokens</t>
  </si>
  <si>
    <t xml:space="preserve">Total reasoning tokens</t>
  </si>
  <si>
    <t xml:space="preserve">Benchmark cost breakdown · USD</t>
  </si>
  <si>
    <t xml:space="preserve">Source totals are rounded independently; component sums may differ. Per-task costs are weighted.</t>
  </si>
  <si>
    <t xml:space="preserve">Total cost / task</t>
  </si>
  <si>
    <t xml:space="preserve">Answer / task</t>
  </si>
  <si>
    <t xml:space="preserve">Reasoning / task</t>
  </si>
  <si>
    <t xml:space="preserve">Cache write / task</t>
  </si>
  <si>
    <t xml:space="preserve">Cache hit / task</t>
  </si>
  <si>
    <t xml:space="preserve">Input / task</t>
  </si>
  <si>
    <t xml:space="preserve">Total run cost</t>
  </si>
  <si>
    <t xml:space="preserve">Total answer cost</t>
  </si>
  <si>
    <t xml:space="preserve">Total reasoning cost</t>
  </si>
  <si>
    <t xml:space="preserve">Total cache write</t>
  </si>
  <si>
    <t xml:space="preserve">Total cache read</t>
  </si>
  <si>
    <t xml:space="preserve">Total input cost</t>
  </si>
  <si>
    <t xml:space="preserve">API token prices · USD per million tokens</t>
  </si>
  <si>
    <t xml:space="preserve">Prices from the AA pricing chart • same listed rates across selected effort levels • not Codex allowance rates</t>
  </si>
  <si>
    <t xml:space="preserve">Model family</t>
  </si>
  <si>
    <t xml:space="preserve">Input / 1M</t>
  </si>
  <si>
    <t xml:space="preserve">Cached input / 1M</t>
  </si>
  <si>
    <t xml:space="preserve">Output / 1M</t>
  </si>
  <si>
    <t xml:space="preserve">GPT-5.6 Luna</t>
  </si>
  <si>
    <t xml:space="preserve">GPT-5.6 Terra</t>
  </si>
  <si>
    <t xml:space="preserve">GPT-5.6 Sol</t>
  </si>
  <si>
    <t xml:space="preserve">GPT-6 Astra</t>
  </si>
  <si>
    <t xml:space="preserve">Sources &amp; methodology</t>
  </si>
  <si>
    <t xml:space="preserve">Read before interpreting efficiency rankings</t>
  </si>
  <si>
    <t xml:space="preserve">Topic</t>
  </si>
  <si>
    <t xml:space="preserve">Definition / source</t>
  </si>
  <si>
    <t xml:space="preserve">Scope</t>
  </si>
  <si>
    <t xml:space="preserve">22 selected model/effort configurations; 16 have token/cost results. Six Intelligence Index scores are marked estimates by AA.</t>
  </si>
  <si>
    <t xml:space="preserve">Capture</t>
  </si>
  <si>
    <t xml:space="preserve">2026-09-08. Values read from the chart data behind the public page. The 20 configurations captured earlier were re-checked value by value against a second independent read (220 checks, no differences); the two Non-reasoning rows were added in that pass.</t>
  </si>
  <si>
    <t xml:space="preserve">Sorting</t>
  </si>
  <si>
    <t xml:space="preserve">Comparison, Token detail and Cost detail share cost/task ascending order, with missing results last. Excel table filters allow alternate sorting.</t>
  </si>
  <si>
    <t xml:space="preserve">Artificial Analysis Intelligence Index v4.3, to one decimal place. The site displays whole numbers, which hides real gaps: Astra xhigh and Astra max both display 53 but score 52.5 and 52.8, and max costs 41% more for that 0.3. Unrounded values are used so ranks and ratios separate configurations correctly. "Evaluated" means not marked as estimated in the chart.</t>
  </si>
  <si>
    <t xml:space="preserve">Efficiency formulas</t>
  </si>
  <si>
    <t xml:space="preserve">Points / $ = Intelligence Index / weighted USD per task. Points / 1k tokens = Intelligence Index × 1,000 / weighted output tokens per task. Higher is better.</t>
  </si>
  <si>
    <t xml:space="preserve">Interpretation</t>
  </si>
  <si>
    <t xml:space="preserve">These ratios are descriptive benchmark proxies. Index points are not cardinal units of useful work; they do not measure coding success, reliability or cost per successful task. Differences under roughly one index point are within measurement noise and should not decide anything on their own.</t>
  </si>
  <si>
    <t xml:space="preserve">Rank rules</t>
  </si>
  <si>
    <t xml:space="preserve">Ranks are descending ratio, with ties sharing rank. Estimated scores / missing token or cost results are excluded. Ranks recalculate; physical row order does not.</t>
  </si>
  <si>
    <t xml:space="preserve">Token definition</t>
  </si>
  <si>
    <t xml:space="preserve">Output tokens include answer and reasoning tokens, not input tokens. Selected charts do not provide total input-token counts.</t>
  </si>
  <si>
    <t xml:space="preserve">Weighting</t>
  </si>
  <si>
    <t xml:space="preserve">Per-task values are weighted across Intelligence Index evaluations. Run totals are not weighted per-task averages; do not divide totals to reconstruct weighted averages.</t>
  </si>
  <si>
    <t xml:space="preserve">Cost definition</t>
  </si>
  <si>
    <t xml:space="preserve">Benchmark cost includes answer, reasoning, cache write, cache read/hit and noncached input. Pricing sheet shows listed per-million-token rates.</t>
  </si>
  <si>
    <t xml:space="preserve">Precision</t>
  </si>
  <si>
    <t xml:space="preserve">Intelligence Index to one decimal. Token totals are integer values; per-task tokens have one decimal; accuracy has two percentage decimals. Cost totals are whole USD; most per-task cost values have two decimals. Small input costs retain four decimals.</t>
  </si>
  <si>
    <t xml:space="preserve">Rounding</t>
  </si>
  <si>
    <t xml:space="preserve">Components and totals are rounded independently. Preserve the reported totals instead of forcing sums to match. Calculated ratios inherit this precision limitation.</t>
  </si>
  <si>
    <t xml:space="preserve">Missing results</t>
  </si>
  <si>
    <t xml:space="preserve">Luna High, Medium and Low; Terra Medium, Low and Non-reasoning: estimated intelligence scores, with no cost/token data in the selected charts. Blanks mean unavailable, not zero.</t>
  </si>
  <si>
    <t xml:space="preserve">AA-Omniscience accuracy is the fraction of all questions answered correctly, irrespective of whether the model attempts an answer. It is separate from the multi-benchmark Intelligence Index.</t>
  </si>
  <si>
    <t xml:space="preserve">No mixed denominators</t>
  </si>
  <si>
    <t xml:space="preserve">Do not divide Intelligence Index task costs by Omniscience accuracy to infer cost per correct answer: they refer to different evaluation scopes.</t>
  </si>
  <si>
    <t xml:space="preserve">Naming</t>
  </si>
  <si>
    <t xml:space="preserve">Unsuffixed model URLs map to max in these charts. Source “GPT-6 Astra (low)” corresponds to the skill’s Astra Light label. Source labels are retained.</t>
  </si>
  <si>
    <t xml:space="preserve">Codex caveat</t>
  </si>
  <si>
    <t xml:space="preserve">API dollars and raw token counts do not establish Codex subscription allowance consumption. Parent re-entry, caching, context size and retries require separate rollout telemetry.</t>
  </si>
  <si>
    <t xml:space="preserve">Routing caveat</t>
  </si>
  <si>
    <t xml:space="preserve">Benchmark comparisons alone do not justify changing the Agent Deployment policy. Test bounded tasks, review outcomes and total orchestration cost before making routing changes.</t>
  </si>
  <si>
    <t xml:space="preserve">Intelligence source</t>
  </si>
  <si>
    <t xml:space="preserve">https://artificialanalysis.ai/models?models=gpt-6-astra%2Cgpt-6-astra-xhigh%2Cgpt-6-astra-high%2Cgpt-6-astra-medium%2Cgpt-6-astra-low%2Cgpt-5-6-sol%2Cgpt-5-6-sol-xhigh%2Cgpt-5-6-sol-high%2Cgpt-5-6-sol-medium%2Cgpt-5-6-sol-low%2Cgpt-5-6-terra%2Cgpt-5-6-terra-xhigh%2Cgpt-5-6-terra-high%2Cgpt-5-6-terra-medium%2Cgpt-5-6-terra-low%2Cgpt-5-6-luna%2Cgpt-5-6-luna-xhigh%2Cgpt-5-6-luna-high%2Cgpt-5-6-luna-medium%2Cgpt-5-6-luna-low#artificial-analysis-intelligence-index</t>
  </si>
  <si>
    <t xml:space="preserve">Token-use source</t>
  </si>
  <si>
    <t xml:space="preserve">https://artificialanalysis.ai/models?models=gpt-6-astra%2Cgpt-6-astra-xhigh%2Cgpt-6-astra-high%2Cgpt-6-astra-medium%2Cgpt-6-astra-low%2Cgpt-5-6-sol%2Cgpt-5-6-sol-xhigh%2Cgpt-5-6-sol-high%2Cgpt-5-6-sol-medium%2Cgpt-5-6-sol-low%2Cgpt-5-6-terra%2Cgpt-5-6-terra-xhigh%2Cgpt-5-6-terra-high%2Cgpt-5-6-terra-medium%2Cgpt-5-6-terra-low%2Cgpt-5-6-luna%2Cgpt-5-6-luna-xhigh%2Cgpt-5-6-luna-high%2Cgpt-5-6-luna-medium%2Cgpt-5-6-luna-low&amp;intelligence-index-token-use=intelligence-vs-output-tokens-per-task#intelligence-index-token-use-tabs</t>
  </si>
  <si>
    <t xml:space="preserve">Total-cost source</t>
  </si>
  <si>
    <t xml:space="preserve">https://artificialanalysis.ai/models?models=gpt-6-astra%2Cgpt-6-astra-xhigh%2Cgpt-6-astra-high%2Cgpt-6-astra-medium%2Cgpt-6-astra-low%2Cgpt-5-6-sol%2Cgpt-5-6-sol-xhigh%2Cgpt-5-6-sol-high%2Cgpt-5-6-sol-medium%2Cgpt-5-6-sol-low%2Cgpt-5-6-terra%2Cgpt-5-6-terra-xhigh%2Cgpt-5-6-terra-high%2Cgpt-5-6-terra-medium%2Cgpt-5-6-terra-low%2Cgpt-5-6-luna%2Cgpt-5-6-luna-xhigh%2Cgpt-5-6-luna-high%2Cgpt-5-6-luna-medium%2Cgpt-5-6-luna-low#total-cost-tabs</t>
  </si>
  <si>
    <t xml:space="preserve">Per-task-cost source</t>
  </si>
  <si>
    <t xml:space="preserve">https://artificialanalysis.ai/models?models=gpt-6-astra%2Cgpt-6-astra-xhigh%2Cgpt-6-astra-high%2Cgpt-6-astra-medium%2Cgpt-6-astra-low%2Cgpt-5-6-sol%2Cgpt-5-6-sol-xhigh%2Cgpt-5-6-sol-high%2Cgpt-5-6-sol-medium%2Cgpt-5-6-sol-low%2Cgpt-5-6-terra%2Cgpt-5-6-terra-xhigh%2Cgpt-5-6-terra-high%2Cgpt-5-6-terra-medium%2Cgpt-5-6-terra-low%2Cgpt-5-6-luna%2Cgpt-5-6-luna-xhigh%2Cgpt-5-6-luna-high%2Cgpt-5-6-luna-medium%2Cgpt-5-6-luna-low#cost-tabs</t>
  </si>
  <si>
    <t xml:space="preserve">Accuracy source</t>
  </si>
  <si>
    <t xml:space="preserve">https://artificialanalysis.ai/models?models=gpt-6-astra%2Cgpt-6-astra-xhigh%2Cgpt-6-astra-high%2Cgpt-6-astra-medium%2Cgpt-6-astra-low%2Cgpt-5-6-sol%2Cgpt-5-6-sol-xhigh%2Cgpt-5-6-sol-high%2Cgpt-5-6-sol-medium%2Cgpt-5-6-sol-low%2Cgpt-5-6-terra%2Cgpt-5-6-terra-xhigh%2Cgpt-5-6-terra-high%2Cgpt-5-6-terra-medium%2Cgpt-5-6-terra-low%2Cgpt-5-6-luna%2Cgpt-5-6-luna-xhigh%2Cgpt-5-6-luna-high%2Cgpt-5-6-luna-medium%2Cgpt-5-6-luna-low&amp;omniscience=omniscience-accuracy#omniscience-tabs</t>
  </si>
  <si>
    <t xml:space="preserve">Pricing source</t>
  </si>
  <si>
    <t xml:space="preserve">https://artificialanalysis.ai/models?models=gpt-6-astra%2Cgpt-6-astra-xhigh%2Cgpt-6-astra-high%2Cgpt-6-astra-medium%2Cgpt-6-astra-low%2Cgpt-5-6-sol%2Cgpt-5-6-sol-xhigh%2Cgpt-5-6-sol-high%2Cgpt-5-6-sol-medium%2Cgpt-5-6-sol-low%2Cgpt-5-6-terra%2Cgpt-5-6-terra-xhigh%2Cgpt-5-6-terra-high%2Cgpt-5-6-terra-medium%2Cgpt-5-6-terra-low%2Cgpt-5-6-luna%2Cgpt-5-6-luna-xhigh%2Cgpt-5-6-luna-high%2Cgpt-5-6-luna-medium%2Cgpt-5-6-luna-low#pricing-tabs</t>
  </si>
  <si>
    <t xml:space="preserve">Non-reasoning rows</t>
  </si>
  <si>
    <t xml:space="preserve">GPT-6 Astra (Non-reasoning) and GPT-5.6 Terra (Non-reasoning) were added on 2026-09-08. Astra Non-reasoning has full cost and token results; Terra Non-reasoning has an estimated score only. Astra Non-reasoning uses zero reasoning tokens by definition, so its reasoning share is 0%.</t>
  </si>
  <si>
    <t xml:space="preserve">Updated source</t>
  </si>
  <si>
    <t xml:space="preserve">https://artificialanalysis.ai/models?models=gpt-6-astra%2Cgpt-6-astra-xhigh%2Cgpt-6-astra-high%2Cgpt-6-astra-medium%2Cgpt-5-6-sol%2Cgpt-6-astra-low%2Cgpt-6-astra-non-reasoning%2Cgpt-5-6-sol-xhigh%2Cgpt-5-6-sol-high%2Cgpt-5-6-terra%2Cgpt-5-6-sol-medium%2Cgpt-5-6-terra-xhigh%2Cgpt-5-6-luna%2Cgpt-5-6-luna-xhigh%2Cgpt-5-6-terra-high%2Cgpt-5-6-sol-low%2Cgpt-5-6-luna-high%2Cgpt-5-6-terra-medium%2Cgpt-5-6-terra-low%2Cgpt-5-6-luna-medium%2Cgpt-5-6-terra-non-reasoning%2Cgpt-5-6-luna-low&amp;intelligence-index-token-use=intelligence-vs-output-tokens-per-task&amp;cost=intelligence-vs-cost-per-task</t>
  </si>
  <si>
    <t xml:space="preserve">Frontier means no other configuration in this sheet scores at least as high for the same or less money. Dominated means at least one does, so picking it costs more for no measured gain. Of the 16 configurations with cost results, 6 are on the frontier and 10 are dominated.</t>
  </si>
  <si>
    <t xml:space="preserve">Cheapest at this index or better</t>
  </si>
  <si>
    <t xml:space="preserve">The lowest cost per task among configurations scoring at least as high as this row. Premium vs that is how much extra this row costs for no additional measured capability; zero means this row is the cheapest route to its own capability level.</t>
  </si>
  <si>
    <t xml:space="preserve">Using these columns</t>
  </si>
  <si>
    <t xml:space="preserve">Start from the frontier rows, pick the lowest index that clears the task, and check the premium column before choosing anything dominated. Sol max, for example, costs $1.99 while Astra medium scores higher at $1.54. Verify on your own tasks before changing routing policy.</t>
  </si>
</sst>
</file>

<file path=xl/styles.xml><?xml version="1.0" encoding="utf-8"?>
<styleSheet xmlns="http://schemas.openxmlformats.org/spreadsheetml/2006/main">
  <numFmts count="11">
    <numFmt numFmtId="164" formatCode="General"/>
    <numFmt numFmtId="165" formatCode="0.0"/>
    <numFmt numFmtId="166" formatCode="0.00%"/>
    <numFmt numFmtId="167" formatCode="\$0.00"/>
    <numFmt numFmtId="168" formatCode="#,##0.0"/>
    <numFmt numFmtId="169" formatCode="0.00"/>
    <numFmt numFmtId="170" formatCode="0.0%"/>
    <numFmt numFmtId="171" formatCode="\$0.00"/>
    <numFmt numFmtId="172" formatCode="#,##0"/>
    <numFmt numFmtId="173" formatCode="\$0.0000"/>
    <numFmt numFmtId="174" formatCode="\$#,##0"/>
  </numFmts>
  <fonts count="9">
    <font>
      <sz val="10"/>
      <name val="Arial"/>
      <family val="2"/>
      <charset val="1"/>
    </font>
    <font>
      <sz val="10"/>
      <name val="Arial"/>
      <family val="0"/>
    </font>
    <font>
      <sz val="10"/>
      <name val="Arial"/>
      <family val="0"/>
    </font>
    <font>
      <sz val="10"/>
      <name val="Arial"/>
      <family val="0"/>
    </font>
    <font>
      <b val="true"/>
      <sz val="18"/>
      <color rgb="FF17354A"/>
      <name val="Arial"/>
      <family val="0"/>
      <charset val="1"/>
    </font>
    <font>
      <sz val="10"/>
      <name val="Arial"/>
      <family val="0"/>
      <charset val="1"/>
    </font>
    <font>
      <sz val="10"/>
      <color rgb="FF526776"/>
      <name val="Arial"/>
      <family val="0"/>
      <charset val="1"/>
    </font>
    <font>
      <b val="true"/>
      <sz val="10"/>
      <color rgb="FFFFFFFF"/>
      <name val="Arial"/>
      <family val="0"/>
      <charset val="1"/>
    </font>
    <font>
      <sz val="10"/>
      <color rgb="FF17354A"/>
      <name val="Arial"/>
      <family val="0"/>
      <charset val="1"/>
    </font>
  </fonts>
  <fills count="3">
    <fill>
      <patternFill patternType="none"/>
    </fill>
    <fill>
      <patternFill patternType="gray125"/>
    </fill>
    <fill>
      <patternFill patternType="solid">
        <fgColor rgb="FF17354A"/>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72" fontId="5"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73" fontId="5" fillId="0" borderId="0" xfId="0" applyFont="true" applyBorder="false" applyAlignment="true" applyProtection="false">
      <alignment horizontal="general" vertical="bottom" textRotation="0" wrapText="false" indent="0" shrinkToFit="false"/>
      <protection locked="true" hidden="false"/>
    </xf>
    <xf numFmtId="174"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7354A"/>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6776"/>
      <rgbColor rgb="FF969696"/>
      <rgbColor rgb="FF17354A"/>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ables/table1.xml><?xml version="1.0" encoding="utf-8"?>
<table xmlns="http://schemas.openxmlformats.org/spreadsheetml/2006/main" id="1" name="ComparisonTable" displayName="ComparisonTable" ref="A5:N27" headerRowCount="1" totalsRowCount="0" totalsRowShown="0">
  <tableColumns count="14">
    <tableColumn id="1" name="Model / effort"/>
    <tableColumn id="2" name="Intelligence"/>
    <tableColumn id="3" name="Score status"/>
    <tableColumn id="4" name="Accuracy"/>
    <tableColumn id="5" name="USD / task"/>
    <tableColumn id="6" name="Output tokens / task"/>
    <tableColumn id="7" name="Points / $"/>
    <tableColumn id="8" name="Cost-efficiency rank"/>
    <tableColumn id="9" name="Points / 1k tokens"/>
    <tableColumn id="10" name="Token-efficiency rank"/>
    <tableColumn id="11" name="Reasoning share"/>
    <tableColumn id="12" name="Frontier?"/>
    <tableColumn id="13" name="Cheapest $/task at this index or better"/>
    <tableColumn id="14" name="Premium vs that"/>
  </tableColumns>
</table>
</file>

<file path=xl/tables/table2.xml><?xml version="1.0" encoding="utf-8"?>
<table xmlns="http://schemas.openxmlformats.org/spreadsheetml/2006/main" id="2" name="CostdetailTable" displayName="CostdetailTable" ref="A5:M27" headerRowCount="1" totalsRowCount="0" totalsRowShown="0">
  <tableColumns count="13">
    <tableColumn id="1" name="Model / effort"/>
    <tableColumn id="2" name="Total cost / task"/>
    <tableColumn id="3" name="Answer / task"/>
    <tableColumn id="4" name="Reasoning / task"/>
    <tableColumn id="5" name="Cache write / task"/>
    <tableColumn id="6" name="Cache hit / task"/>
    <tableColumn id="7" name="Input / task"/>
    <tableColumn id="8" name="Total run cost"/>
    <tableColumn id="9" name="Total answer cost"/>
    <tableColumn id="10" name="Total reasoning cost"/>
    <tableColumn id="11" name="Total cache write"/>
    <tableColumn id="12" name="Total cache read"/>
    <tableColumn id="13" name="Total input cost"/>
  </tableColumns>
</table>
</file>

<file path=xl/tables/table3.xml><?xml version="1.0" encoding="utf-8"?>
<table xmlns="http://schemas.openxmlformats.org/spreadsheetml/2006/main" id="3" name="NotesTable" displayName="NotesTable" ref="A5:B34" headerRowCount="1" totalsRowCount="0" totalsRowShown="0">
  <tableColumns count="2">
    <tableColumn id="1" name="Topic"/>
    <tableColumn id="2" name="Definition / source"/>
  </tableColumns>
</table>
</file>

<file path=xl/tables/table4.xml><?xml version="1.0" encoding="utf-8"?>
<table xmlns="http://schemas.openxmlformats.org/spreadsheetml/2006/main" id="4" name="PricingTable" displayName="PricingTable" ref="A5:D9" headerRowCount="1" totalsRowCount="0" totalsRowShown="0">
  <tableColumns count="4">
    <tableColumn id="1" name="Model family"/>
    <tableColumn id="2" name="Input / 1M"/>
    <tableColumn id="3" name="Cached input / 1M"/>
    <tableColumn id="4" name="Output / 1M"/>
  </tableColumns>
</table>
</file>

<file path=xl/tables/table5.xml><?xml version="1.0" encoding="utf-8"?>
<table xmlns="http://schemas.openxmlformats.org/spreadsheetml/2006/main" id="5" name="TokendetailTable" displayName="TokendetailTable" ref="A5:J27" headerRowCount="1" totalsRowCount="0" totalsRowShown="0">
  <tableColumns count="10">
    <tableColumn id="1" name="Model / effort"/>
    <tableColumn id="2" name="Intelligence"/>
    <tableColumn id="3" name="Score status"/>
    <tableColumn id="4" name="Omniscience accuracy"/>
    <tableColumn id="5" name="Output tokens / task"/>
    <tableColumn id="6" name="Answer tokens / task"/>
    <tableColumn id="7" name="Reasoning tokens / task"/>
    <tableColumn id="8" name="Total output tokens"/>
    <tableColumn id="9" name="Total answer tokens"/>
    <tableColumn id="10" name="Total reasoning tokens"/>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table" Target="../tables/table4.xml"/>
</Relationships>
</file>

<file path=xl/worksheets/_rels/sheet5.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29"/>
    <col collapsed="false" customWidth="true" hidden="false" outlineLevel="0" max="11" min="2" style="1" width="17"/>
    <col collapsed="false" customWidth="true" hidden="false" outlineLevel="0" max="12" min="12" style="0" width="17"/>
    <col collapsed="false" customWidth="true" hidden="false" outlineLevel="0" max="13" min="13" style="0" width="22"/>
    <col collapsed="false" customWidth="true" hidden="false" outlineLevel="0" max="14" min="14" style="0" width="17"/>
  </cols>
  <sheetData>
    <row r="1" customFormat="false" ht="30" hidden="false" customHeight="true" outlineLevel="0" collapsed="false">
      <c r="A1" s="2" t="s">
        <v>0</v>
      </c>
      <c r="B1" s="3"/>
      <c r="C1" s="3"/>
      <c r="D1" s="3"/>
      <c r="E1" s="3"/>
      <c r="F1" s="3"/>
      <c r="G1" s="3"/>
      <c r="H1" s="3"/>
      <c r="I1" s="3"/>
      <c r="J1" s="3"/>
      <c r="K1" s="3"/>
    </row>
    <row r="2" customFormat="false" ht="15" hidden="false" customHeight="true" outlineLevel="0" collapsed="false">
      <c r="A2" s="4" t="s">
        <v>1</v>
      </c>
      <c r="B2" s="3"/>
      <c r="C2" s="3"/>
      <c r="D2" s="3"/>
      <c r="E2" s="3"/>
      <c r="F2" s="3"/>
      <c r="G2" s="3"/>
      <c r="H2" s="3"/>
      <c r="I2" s="3"/>
      <c r="J2" s="3"/>
      <c r="K2" s="3"/>
    </row>
    <row r="3" customFormat="false" ht="15" hidden="false" customHeight="true" outlineLevel="0" collapsed="false">
      <c r="A3" s="3"/>
      <c r="B3" s="3"/>
      <c r="C3" s="3"/>
      <c r="D3" s="3"/>
      <c r="E3" s="3"/>
      <c r="F3" s="3"/>
      <c r="G3" s="3"/>
      <c r="H3" s="3"/>
      <c r="I3" s="3"/>
      <c r="J3" s="3"/>
      <c r="K3" s="3"/>
    </row>
    <row r="4" customFormat="false" ht="15" hidden="false" customHeight="true" outlineLevel="0" collapsed="false">
      <c r="A4" s="3"/>
      <c r="B4" s="3"/>
      <c r="C4" s="3"/>
      <c r="D4" s="3"/>
      <c r="E4" s="3"/>
      <c r="F4" s="3"/>
      <c r="G4" s="3"/>
      <c r="H4" s="3"/>
      <c r="I4" s="3"/>
      <c r="J4" s="3"/>
      <c r="K4" s="3"/>
    </row>
    <row r="5" customFormat="false" ht="43.5" hidden="false" customHeight="true" outlineLevel="0" collapsed="false">
      <c r="A5" s="5" t="s">
        <v>2</v>
      </c>
      <c r="B5" s="5" t="s">
        <v>3</v>
      </c>
      <c r="C5" s="5" t="s">
        <v>4</v>
      </c>
      <c r="D5" s="5" t="s">
        <v>5</v>
      </c>
      <c r="E5" s="5" t="s">
        <v>6</v>
      </c>
      <c r="F5" s="5" t="s">
        <v>7</v>
      </c>
      <c r="G5" s="5" t="s">
        <v>8</v>
      </c>
      <c r="H5" s="5" t="s">
        <v>9</v>
      </c>
      <c r="I5" s="5" t="s">
        <v>10</v>
      </c>
      <c r="J5" s="5" t="s">
        <v>11</v>
      </c>
      <c r="K5" s="5" t="s">
        <v>12</v>
      </c>
      <c r="L5" s="6" t="s">
        <v>13</v>
      </c>
      <c r="M5" s="6" t="s">
        <v>14</v>
      </c>
      <c r="N5" s="6" t="s">
        <v>15</v>
      </c>
    </row>
    <row r="6" customFormat="false" ht="24" hidden="false" customHeight="true" outlineLevel="0" collapsed="false">
      <c r="A6" s="3" t="s">
        <v>16</v>
      </c>
      <c r="B6" s="7" t="n">
        <f aca="false">'Token detail'!B6</f>
        <v>34.8</v>
      </c>
      <c r="C6" s="8" t="s">
        <v>17</v>
      </c>
      <c r="D6" s="9" t="n">
        <f aca="false">'Token detail'!D6</f>
        <v>0.4245</v>
      </c>
      <c r="E6" s="10" t="n">
        <f aca="false">IF(C6="Estimated","",'Cost detail'!B6)</f>
        <v>0.09</v>
      </c>
      <c r="F6" s="11" t="n">
        <f aca="false">IF(C6="Estimated","",'Token detail'!E6)</f>
        <v>23624.5</v>
      </c>
      <c r="G6" s="12" t="n">
        <f aca="false">IF(C6="Estimated","",B6/E6)</f>
        <v>386.666666666667</v>
      </c>
      <c r="H6" s="8" t="n">
        <f aca="false">IF(C6="Estimated","",1+COUNTIF($G$6:$G$27,"&gt;"&amp;G6))</f>
        <v>1</v>
      </c>
      <c r="I6" s="12" t="n">
        <f aca="false">IF(C6="Estimated","",B6/F6*1000)</f>
        <v>1.47304704861479</v>
      </c>
      <c r="J6" s="8" t="n">
        <f aca="false">IF(C6="Estimated","",1+COUNTIF($I$6:$I$27,"&gt;"&amp;I6))</f>
        <v>14</v>
      </c>
      <c r="K6" s="13" t="n">
        <f aca="false">IF(C6="Estimated","",'Token detail'!G6/F6)</f>
        <v>0.623217422590954</v>
      </c>
      <c r="L6" s="8" t="str">
        <f aca="false">IF(C6="Estimated","",IF(COUNTIFS($B$6:$B$27,"&gt;="&amp;B6,$E$6:$E$27,"&lt;="&amp;E6)&gt;1,"Dominated","Frontier"))</f>
        <v>Frontier</v>
      </c>
      <c r="M6" s="14" t="n">
        <f aca="false">IF(C6="Estimated","",_xlfn.MINIFS($E$6:$E$27,$B$6:$B$27,"&gt;="&amp;B6))</f>
        <v>0.09</v>
      </c>
      <c r="N6" s="14" t="n">
        <f aca="false">IF(C6="Estimated","",E6-M6)</f>
        <v>0</v>
      </c>
    </row>
    <row r="7" customFormat="false" ht="24" hidden="false" customHeight="true" outlineLevel="0" collapsed="false">
      <c r="A7" s="3" t="s">
        <v>18</v>
      </c>
      <c r="B7" s="7" t="n">
        <f aca="false">'Token detail'!B7</f>
        <v>37.5</v>
      </c>
      <c r="C7" s="8" t="s">
        <v>17</v>
      </c>
      <c r="D7" s="9" t="n">
        <f aca="false">'Token detail'!D7</f>
        <v>0.4273</v>
      </c>
      <c r="E7" s="10" t="n">
        <f aca="false">IF(C7="Estimated","",'Cost detail'!B7)</f>
        <v>0.18</v>
      </c>
      <c r="F7" s="11" t="n">
        <f aca="false">IF(C7="Estimated","",'Token detail'!E7)</f>
        <v>41234.6</v>
      </c>
      <c r="G7" s="12" t="n">
        <f aca="false">IF(C7="Estimated","",B7/E7)</f>
        <v>208.333333333333</v>
      </c>
      <c r="H7" s="8" t="n">
        <f aca="false">IF(C7="Estimated","",1+COUNTIF($G$6:$G$27,"&gt;"&amp;G7))</f>
        <v>2</v>
      </c>
      <c r="I7" s="12" t="n">
        <f aca="false">IF(C7="Estimated","",B7/F7*1000)</f>
        <v>0.909430429784695</v>
      </c>
      <c r="J7" s="8" t="n">
        <f aca="false">IF(C7="Estimated","",1+COUNTIF($I$6:$I$27,"&gt;"&amp;I7))</f>
        <v>16</v>
      </c>
      <c r="K7" s="13" t="n">
        <f aca="false">IF(C7="Estimated","",'Token detail'!G7/F7)</f>
        <v>0.681425307872515</v>
      </c>
      <c r="L7" s="8" t="str">
        <f aca="false">IF(C7="Estimated","",IF(COUNTIFS($B$6:$B$27,"&gt;="&amp;B7,$E$6:$E$27,"&lt;="&amp;E7)&gt;1,"Dominated","Frontier"))</f>
        <v>Frontier</v>
      </c>
      <c r="M7" s="14" t="n">
        <f aca="false">IF(C7="Estimated","",_xlfn.MINIFS($E$6:$E$27,$B$6:$B$27,"&gt;="&amp;B7))</f>
        <v>0.18</v>
      </c>
      <c r="N7" s="14" t="n">
        <f aca="false">IF(C7="Estimated","",E7-M7)</f>
        <v>0</v>
      </c>
    </row>
    <row r="8" customFormat="false" ht="24" hidden="false" customHeight="true" outlineLevel="0" collapsed="false">
      <c r="A8" s="3" t="s">
        <v>19</v>
      </c>
      <c r="B8" s="7" t="n">
        <f aca="false">'Token detail'!B8</f>
        <v>33.8</v>
      </c>
      <c r="C8" s="8" t="s">
        <v>17</v>
      </c>
      <c r="D8" s="9" t="n">
        <f aca="false">'Token detail'!D8</f>
        <v>0.5717</v>
      </c>
      <c r="E8" s="10" t="n">
        <f aca="false">IF(C8="Estimated","",'Cost detail'!B8)</f>
        <v>0.26</v>
      </c>
      <c r="F8" s="11" t="n">
        <f aca="false">IF(C8="Estimated","",'Token detail'!E8)</f>
        <v>3974.4</v>
      </c>
      <c r="G8" s="12" t="n">
        <f aca="false">IF(C8="Estimated","",B8/E8)</f>
        <v>130</v>
      </c>
      <c r="H8" s="8" t="n">
        <f aca="false">IF(C8="Estimated","",1+COUNTIF($G$6:$G$27,"&gt;"&amp;G8))</f>
        <v>3</v>
      </c>
      <c r="I8" s="12" t="n">
        <f aca="false">IF(C8="Estimated","",B8/F8*1000)</f>
        <v>8.50442834138486</v>
      </c>
      <c r="J8" s="8" t="n">
        <f aca="false">IF(C8="Estimated","",1+COUNTIF($I$6:$I$27,"&gt;"&amp;I8))</f>
        <v>2</v>
      </c>
      <c r="K8" s="13" t="n">
        <f aca="false">IF(C8="Estimated","",'Token detail'!G8/F8)</f>
        <v>0.210648148148148</v>
      </c>
      <c r="L8" s="8" t="str">
        <f aca="false">IF(C8="Estimated","",IF(COUNTIFS($B$6:$B$27,"&gt;="&amp;B8,$E$6:$E$27,"&lt;="&amp;E8)&gt;1,"Dominated","Frontier"))</f>
        <v>Dominated</v>
      </c>
      <c r="M8" s="14" t="n">
        <f aca="false">IF(C8="Estimated","",_xlfn.MINIFS($E$6:$E$27,$B$6:$B$27,"&gt;="&amp;B8))</f>
        <v>0.09</v>
      </c>
      <c r="N8" s="14" t="n">
        <f aca="false">IF(C8="Estimated","",E8-M8)</f>
        <v>0.17</v>
      </c>
    </row>
    <row r="9" customFormat="false" ht="24" hidden="false" customHeight="true" outlineLevel="0" collapsed="false">
      <c r="A9" s="3" t="s">
        <v>20</v>
      </c>
      <c r="B9" s="7" t="n">
        <f aca="false">'Token detail'!B9</f>
        <v>34.5</v>
      </c>
      <c r="C9" s="8" t="s">
        <v>17</v>
      </c>
      <c r="D9" s="9" t="n">
        <f aca="false">'Token detail'!D9</f>
        <v>0.4548</v>
      </c>
      <c r="E9" s="10" t="n">
        <f aca="false">IF(C9="Estimated","",'Cost detail'!B9)</f>
        <v>0.34</v>
      </c>
      <c r="F9" s="11" t="n">
        <f aca="false">IF(C9="Estimated","",'Token detail'!E9)</f>
        <v>11293.7</v>
      </c>
      <c r="G9" s="12" t="n">
        <f aca="false">IF(C9="Estimated","",B9/E9)</f>
        <v>101.470588235294</v>
      </c>
      <c r="H9" s="8" t="n">
        <f aca="false">IF(C9="Estimated","",1+COUNTIF($G$6:$G$27,"&gt;"&amp;G9))</f>
        <v>4</v>
      </c>
      <c r="I9" s="12" t="n">
        <f aca="false">IF(C9="Estimated","",B9/F9*1000)</f>
        <v>3.05480046397549</v>
      </c>
      <c r="J9" s="8" t="n">
        <f aca="false">IF(C9="Estimated","",1+COUNTIF($I$6:$I$27,"&gt;"&amp;I9))</f>
        <v>9</v>
      </c>
      <c r="K9" s="13" t="n">
        <f aca="false">IF(C9="Estimated","",'Token detail'!G9/F9)</f>
        <v>0.481808441874673</v>
      </c>
      <c r="L9" s="8" t="str">
        <f aca="false">IF(C9="Estimated","",IF(COUNTIFS($B$6:$B$27,"&gt;="&amp;B9,$E$6:$E$27,"&lt;="&amp;E9)&gt;1,"Dominated","Frontier"))</f>
        <v>Dominated</v>
      </c>
      <c r="M9" s="14" t="n">
        <f aca="false">IF(C9="Estimated","",_xlfn.MINIFS($E$6:$E$27,$B$6:$B$27,"&gt;="&amp;B9))</f>
        <v>0.09</v>
      </c>
      <c r="N9" s="14" t="n">
        <f aca="false">IF(C9="Estimated","",E9-M9)</f>
        <v>0.25</v>
      </c>
    </row>
    <row r="10" customFormat="false" ht="24" hidden="false" customHeight="true" outlineLevel="0" collapsed="false">
      <c r="A10" s="3" t="s">
        <v>21</v>
      </c>
      <c r="B10" s="7" t="n">
        <f aca="false">'Token detail'!B10</f>
        <v>39.5</v>
      </c>
      <c r="C10" s="8" t="s">
        <v>17</v>
      </c>
      <c r="D10" s="9" t="n">
        <f aca="false">'Token detail'!D10</f>
        <v>0.5775</v>
      </c>
      <c r="E10" s="10" t="n">
        <f aca="false">IF(C10="Estimated","",'Cost detail'!B10)</f>
        <v>0.5</v>
      </c>
      <c r="F10" s="11" t="n">
        <f aca="false">IF(C10="Estimated","",'Token detail'!E10)</f>
        <v>7874</v>
      </c>
      <c r="G10" s="12" t="n">
        <f aca="false">IF(C10="Estimated","",B10/E10)</f>
        <v>79</v>
      </c>
      <c r="H10" s="8" t="n">
        <f aca="false">IF(C10="Estimated","",1+COUNTIF($G$6:$G$27,"&gt;"&amp;G10))</f>
        <v>5</v>
      </c>
      <c r="I10" s="12" t="n">
        <f aca="false">IF(C10="Estimated","",B10/F10*1000)</f>
        <v>5.01651003302007</v>
      </c>
      <c r="J10" s="8" t="n">
        <f aca="false">IF(C10="Estimated","",1+COUNTIF($I$6:$I$27,"&gt;"&amp;I10))</f>
        <v>5</v>
      </c>
      <c r="K10" s="13" t="n">
        <f aca="false">IF(C10="Estimated","",'Token detail'!G10/F10)</f>
        <v>0.338100076200152</v>
      </c>
      <c r="L10" s="8" t="str">
        <f aca="false">IF(C10="Estimated","",IF(COUNTIFS($B$6:$B$27,"&gt;="&amp;B10,$E$6:$E$27,"&lt;="&amp;E10)&gt;1,"Dominated","Frontier"))</f>
        <v>Frontier</v>
      </c>
      <c r="M10" s="14" t="n">
        <f aca="false">IF(C10="Estimated","",_xlfn.MINIFS($E$6:$E$27,$B$6:$B$27,"&gt;="&amp;B10))</f>
        <v>0.5</v>
      </c>
      <c r="N10" s="14" t="n">
        <f aca="false">IF(C10="Estimated","",E10-M10)</f>
        <v>0</v>
      </c>
    </row>
    <row r="11" customFormat="false" ht="24" hidden="false" customHeight="true" outlineLevel="0" collapsed="false">
      <c r="A11" s="3" t="s">
        <v>22</v>
      </c>
      <c r="B11" s="7" t="n">
        <f aca="false">'Token detail'!B11</f>
        <v>38.2</v>
      </c>
      <c r="C11" s="8" t="s">
        <v>17</v>
      </c>
      <c r="D11" s="9" t="n">
        <f aca="false">'Token detail'!D11</f>
        <v>0.4552</v>
      </c>
      <c r="E11" s="10" t="n">
        <f aca="false">IF(C11="Estimated","",'Cost detail'!B11)</f>
        <v>0.63</v>
      </c>
      <c r="F11" s="11" t="n">
        <f aca="false">IF(C11="Estimated","",'Token detail'!E11)</f>
        <v>20367.3</v>
      </c>
      <c r="G11" s="12" t="n">
        <f aca="false">IF(C11="Estimated","",B11/E11)</f>
        <v>60.6349206349206</v>
      </c>
      <c r="H11" s="8" t="n">
        <f aca="false">IF(C11="Estimated","",1+COUNTIF($G$6:$G$27,"&gt;"&amp;G11))</f>
        <v>6</v>
      </c>
      <c r="I11" s="12" t="n">
        <f aca="false">IF(C11="Estimated","",B11/F11*1000)</f>
        <v>1.87555542462673</v>
      </c>
      <c r="J11" s="8" t="n">
        <f aca="false">IF(C11="Estimated","",1+COUNTIF($I$6:$I$27,"&gt;"&amp;I11))</f>
        <v>12</v>
      </c>
      <c r="K11" s="13" t="n">
        <f aca="false">IF(C11="Estimated","",'Token detail'!G11/F11)</f>
        <v>0.565205009991506</v>
      </c>
      <c r="L11" s="8" t="str">
        <f aca="false">IF(C11="Estimated","",IF(COUNTIFS($B$6:$B$27,"&gt;="&amp;B11,$E$6:$E$27,"&lt;="&amp;E11)&gt;1,"Dominated","Frontier"))</f>
        <v>Dominated</v>
      </c>
      <c r="M11" s="14" t="n">
        <f aca="false">IF(C11="Estimated","",_xlfn.MINIFS($E$6:$E$27,$B$6:$B$27,"&gt;="&amp;B11))</f>
        <v>0.5</v>
      </c>
      <c r="N11" s="14" t="n">
        <f aca="false">IF(C11="Estimated","",E11-M11)</f>
        <v>0.13</v>
      </c>
    </row>
    <row r="12" customFormat="false" ht="24" hidden="false" customHeight="true" outlineLevel="0" collapsed="false">
      <c r="A12" s="3" t="s">
        <v>23</v>
      </c>
      <c r="B12" s="7" t="n">
        <f aca="false">'Token detail'!B12</f>
        <v>42.5</v>
      </c>
      <c r="C12" s="8" t="s">
        <v>17</v>
      </c>
      <c r="D12" s="9" t="n">
        <f aca="false">'Token detail'!D12</f>
        <v>0.5835</v>
      </c>
      <c r="E12" s="10" t="n">
        <f aca="false">IF(C12="Estimated","",'Cost detail'!B12)</f>
        <v>0.81</v>
      </c>
      <c r="F12" s="11" t="n">
        <f aca="false">IF(C12="Estimated","",'Token detail'!E12)</f>
        <v>13250</v>
      </c>
      <c r="G12" s="12" t="n">
        <f aca="false">IF(C12="Estimated","",B12/E12)</f>
        <v>52.4691358024691</v>
      </c>
      <c r="H12" s="8" t="n">
        <f aca="false">IF(C12="Estimated","",1+COUNTIF($G$6:$G$27,"&gt;"&amp;G12))</f>
        <v>8</v>
      </c>
      <c r="I12" s="12" t="n">
        <f aca="false">IF(C12="Estimated","",B12/F12*1000)</f>
        <v>3.20754716981132</v>
      </c>
      <c r="J12" s="8" t="n">
        <f aca="false">IF(C12="Estimated","",1+COUNTIF($I$6:$I$27,"&gt;"&amp;I12))</f>
        <v>7</v>
      </c>
      <c r="K12" s="13" t="n">
        <f aca="false">IF(C12="Estimated","",'Token detail'!G12/F12)</f>
        <v>0.443418867924528</v>
      </c>
      <c r="L12" s="8" t="str">
        <f aca="false">IF(C12="Estimated","",IF(COUNTIFS($B$6:$B$27,"&gt;="&amp;B12,$E$6:$E$27,"&lt;="&amp;E12)&gt;1,"Dominated","Frontier"))</f>
        <v>Frontier</v>
      </c>
      <c r="M12" s="14" t="n">
        <f aca="false">IF(C12="Estimated","",_xlfn.MINIFS($E$6:$E$27,$B$6:$B$27,"&gt;="&amp;B12))</f>
        <v>0.81</v>
      </c>
      <c r="N12" s="14" t="n">
        <f aca="false">IF(C12="Estimated","",E12-M12)</f>
        <v>0</v>
      </c>
    </row>
    <row r="13" customFormat="false" ht="24" hidden="false" customHeight="true" outlineLevel="0" collapsed="false">
      <c r="A13" s="3" t="s">
        <v>24</v>
      </c>
      <c r="B13" s="7" t="n">
        <f aca="false">'Token detail'!B13</f>
        <v>46</v>
      </c>
      <c r="C13" s="8" t="s">
        <v>17</v>
      </c>
      <c r="D13" s="9" t="n">
        <f aca="false">'Token detail'!D13</f>
        <v>0.5953</v>
      </c>
      <c r="E13" s="10" t="n">
        <f aca="false">IF(C13="Estimated","",'Cost detail'!B13)</f>
        <v>0.82</v>
      </c>
      <c r="F13" s="11" t="n">
        <f aca="false">IF(C13="Estimated","",'Token detail'!E13)</f>
        <v>4432.7</v>
      </c>
      <c r="G13" s="12" t="n">
        <f aca="false">IF(C13="Estimated","",B13/E13)</f>
        <v>56.0975609756098</v>
      </c>
      <c r="H13" s="8" t="n">
        <f aca="false">IF(C13="Estimated","",1+COUNTIF($G$6:$G$27,"&gt;"&amp;G13))</f>
        <v>7</v>
      </c>
      <c r="I13" s="12" t="n">
        <f aca="false">IF(C13="Estimated","",B13/F13*1000)</f>
        <v>10.3774223385296</v>
      </c>
      <c r="J13" s="8" t="n">
        <f aca="false">IF(C13="Estimated","",1+COUNTIF($I$6:$I$27,"&gt;"&amp;I13))</f>
        <v>1</v>
      </c>
      <c r="K13" s="13" t="n">
        <f aca="false">IF(C13="Estimated","",'Token detail'!G13/F13)</f>
        <v>0.211541498409547</v>
      </c>
      <c r="L13" s="8" t="str">
        <f aca="false">IF(C13="Estimated","",IF(COUNTIFS($B$6:$B$27,"&gt;="&amp;B13,$E$6:$E$27,"&lt;="&amp;E13)&gt;1,"Dominated","Frontier"))</f>
        <v>Frontier</v>
      </c>
      <c r="M13" s="14" t="n">
        <f aca="false">IF(C13="Estimated","",_xlfn.MINIFS($E$6:$E$27,$B$6:$B$27,"&gt;="&amp;B13))</f>
        <v>0.82</v>
      </c>
      <c r="N13" s="14" t="n">
        <f aca="false">IF(C13="Estimated","",E13-M13)</f>
        <v>0</v>
      </c>
    </row>
    <row r="14" customFormat="false" ht="24" hidden="false" customHeight="true" outlineLevel="0" collapsed="false">
      <c r="A14" s="3" t="s">
        <v>25</v>
      </c>
      <c r="B14" s="7" t="n">
        <f aca="false">'Token detail'!B14</f>
        <v>44.1</v>
      </c>
      <c r="C14" s="8" t="s">
        <v>17</v>
      </c>
      <c r="D14" s="9" t="n">
        <f aca="false">'Token detail'!D14</f>
        <v>0.5882</v>
      </c>
      <c r="E14" s="10" t="n">
        <f aca="false">IF(C14="Estimated","",'Cost detail'!B14)</f>
        <v>1.18</v>
      </c>
      <c r="F14" s="11" t="n">
        <f aca="false">IF(C14="Estimated","",'Token detail'!E14)</f>
        <v>19576.3</v>
      </c>
      <c r="G14" s="12" t="n">
        <f aca="false">IF(C14="Estimated","",B14/E14)</f>
        <v>37.3728813559322</v>
      </c>
      <c r="H14" s="8" t="n">
        <f aca="false">IF(C14="Estimated","",1+COUNTIF($G$6:$G$27,"&gt;"&amp;G14))</f>
        <v>9</v>
      </c>
      <c r="I14" s="12" t="n">
        <f aca="false">IF(C14="Estimated","",B14/F14*1000)</f>
        <v>2.25272395702967</v>
      </c>
      <c r="J14" s="8" t="n">
        <f aca="false">IF(C14="Estimated","",1+COUNTIF($I$6:$I$27,"&gt;"&amp;I14))</f>
        <v>10</v>
      </c>
      <c r="K14" s="13" t="n">
        <f aca="false">IF(C14="Estimated","",'Token detail'!G14/F14)</f>
        <v>0.517253004908997</v>
      </c>
      <c r="L14" s="8" t="str">
        <f aca="false">IF(C14="Estimated","",IF(COUNTIFS($B$6:$B$27,"&gt;="&amp;B14,$E$6:$E$27,"&lt;="&amp;E14)&gt;1,"Dominated","Frontier"))</f>
        <v>Dominated</v>
      </c>
      <c r="M14" s="14" t="n">
        <f aca="false">IF(C14="Estimated","",_xlfn.MINIFS($E$6:$E$27,$B$6:$B$27,"&gt;="&amp;B14))</f>
        <v>0.82</v>
      </c>
      <c r="N14" s="14" t="n">
        <f aca="false">IF(C14="Estimated","",E14-M14)</f>
        <v>0.36</v>
      </c>
    </row>
    <row r="15" customFormat="false" ht="24" hidden="false" customHeight="true" outlineLevel="0" collapsed="false">
      <c r="A15" s="3" t="s">
        <v>26</v>
      </c>
      <c r="B15" s="7" t="n">
        <f aca="false">'Token detail'!B15</f>
        <v>42.3</v>
      </c>
      <c r="C15" s="8" t="s">
        <v>17</v>
      </c>
      <c r="D15" s="9" t="n">
        <f aca="false">'Token detail'!D15</f>
        <v>0.468</v>
      </c>
      <c r="E15" s="10" t="n">
        <f aca="false">IF(C15="Estimated","",'Cost detail'!B15)</f>
        <v>1.4</v>
      </c>
      <c r="F15" s="11" t="n">
        <f aca="false">IF(C15="Estimated","",'Token detail'!E15)</f>
        <v>38897.5</v>
      </c>
      <c r="G15" s="12" t="n">
        <f aca="false">IF(C15="Estimated","",B15/E15)</f>
        <v>30.2142857142857</v>
      </c>
      <c r="H15" s="8" t="n">
        <f aca="false">IF(C15="Estimated","",1+COUNTIF($G$6:$G$27,"&gt;"&amp;G15))</f>
        <v>11</v>
      </c>
      <c r="I15" s="12" t="n">
        <f aca="false">IF(C15="Estimated","",B15/F15*1000)</f>
        <v>1.08747348801337</v>
      </c>
      <c r="J15" s="8" t="n">
        <f aca="false">IF(C15="Estimated","",1+COUNTIF($I$6:$I$27,"&gt;"&amp;I15))</f>
        <v>15</v>
      </c>
      <c r="K15" s="13" t="n">
        <f aca="false">IF(C15="Estimated","",'Token detail'!G15/F15)</f>
        <v>0.669552027765281</v>
      </c>
      <c r="L15" s="8" t="str">
        <f aca="false">IF(C15="Estimated","",IF(COUNTIFS($B$6:$B$27,"&gt;="&amp;B15,$E$6:$E$27,"&lt;="&amp;E15)&gt;1,"Dominated","Frontier"))</f>
        <v>Dominated</v>
      </c>
      <c r="M15" s="14" t="n">
        <f aca="false">IF(C15="Estimated","",_xlfn.MINIFS($E$6:$E$27,$B$6:$B$27,"&gt;="&amp;B15))</f>
        <v>0.81</v>
      </c>
      <c r="N15" s="14" t="n">
        <f aca="false">IF(C15="Estimated","",E15-M15)</f>
        <v>0.59</v>
      </c>
    </row>
    <row r="16" customFormat="false" ht="24" hidden="false" customHeight="true" outlineLevel="0" collapsed="false">
      <c r="A16" s="3" t="s">
        <v>27</v>
      </c>
      <c r="B16" s="7" t="n">
        <f aca="false">'Token detail'!B16</f>
        <v>49.7</v>
      </c>
      <c r="C16" s="8" t="s">
        <v>17</v>
      </c>
      <c r="D16" s="9" t="n">
        <f aca="false">'Token detail'!D16</f>
        <v>0.6057</v>
      </c>
      <c r="E16" s="10" t="n">
        <f aca="false">IF(C16="Estimated","",'Cost detail'!B16)</f>
        <v>1.54</v>
      </c>
      <c r="F16" s="11" t="n">
        <f aca="false">IF(C16="Estimated","",'Token detail'!E16)</f>
        <v>9589.6</v>
      </c>
      <c r="G16" s="12" t="n">
        <f aca="false">IF(C16="Estimated","",B16/E16)</f>
        <v>32.2727272727273</v>
      </c>
      <c r="H16" s="8" t="n">
        <f aca="false">IF(C16="Estimated","",1+COUNTIF($G$6:$G$27,"&gt;"&amp;G16))</f>
        <v>10</v>
      </c>
      <c r="I16" s="12" t="n">
        <f aca="false">IF(C16="Estimated","",B16/F16*1000)</f>
        <v>5.18269792274965</v>
      </c>
      <c r="J16" s="8" t="n">
        <f aca="false">IF(C16="Estimated","",1+COUNTIF($I$6:$I$27,"&gt;"&amp;I16))</f>
        <v>4</v>
      </c>
      <c r="K16" s="13" t="n">
        <f aca="false">IF(C16="Estimated","",'Token detail'!G16/F16)</f>
        <v>0.356813631434054</v>
      </c>
      <c r="L16" s="8" t="str">
        <f aca="false">IF(C16="Estimated","",IF(COUNTIFS($B$6:$B$27,"&gt;="&amp;B16,$E$6:$E$27,"&lt;="&amp;E16)&gt;1,"Dominated","Frontier"))</f>
        <v>Frontier</v>
      </c>
      <c r="M16" s="14" t="n">
        <f aca="false">IF(C16="Estimated","",_xlfn.MINIFS($E$6:$E$27,$B$6:$B$27,"&gt;="&amp;B16))</f>
        <v>1.54</v>
      </c>
      <c r="N16" s="14" t="n">
        <f aca="false">IF(C16="Estimated","",E16-M16)</f>
        <v>0</v>
      </c>
    </row>
    <row r="17" customFormat="false" ht="24" hidden="false" customHeight="true" outlineLevel="0" collapsed="false">
      <c r="A17" s="3" t="s">
        <v>28</v>
      </c>
      <c r="B17" s="7" t="n">
        <f aca="false">'Token detail'!B17</f>
        <v>45.2</v>
      </c>
      <c r="C17" s="8" t="s">
        <v>17</v>
      </c>
      <c r="D17" s="9" t="n">
        <f aca="false">'Token detail'!D17</f>
        <v>0.556</v>
      </c>
      <c r="E17" s="10" t="n">
        <f aca="false">IF(C17="Estimated","",'Cost detail'!B17)</f>
        <v>1.71</v>
      </c>
      <c r="F17" s="11" t="n">
        <f aca="false">IF(C17="Estimated","",'Token detail'!E17)</f>
        <v>7629.7</v>
      </c>
      <c r="G17" s="12" t="n">
        <f aca="false">IF(C17="Estimated","",B17/E17)</f>
        <v>26.4327485380117</v>
      </c>
      <c r="H17" s="8" t="n">
        <f aca="false">IF(C17="Estimated","",1+COUNTIF($G$6:$G$27,"&gt;"&amp;G17))</f>
        <v>13</v>
      </c>
      <c r="I17" s="12" t="n">
        <f aca="false">IF(C17="Estimated","",B17/F17*1000)</f>
        <v>5.92421720382191</v>
      </c>
      <c r="J17" s="8" t="n">
        <f aca="false">IF(C17="Estimated","",1+COUNTIF($I$6:$I$27,"&gt;"&amp;I17))</f>
        <v>3</v>
      </c>
      <c r="K17" s="13" t="n">
        <f aca="false">IF(C17="Estimated","",'Token detail'!G17/F17)</f>
        <v>0</v>
      </c>
      <c r="L17" s="8" t="str">
        <f aca="false">IF(C17="Estimated","",IF(COUNTIFS($B$6:$B$27,"&gt;="&amp;B17,$E$6:$E$27,"&lt;="&amp;E17)&gt;1,"Dominated","Frontier"))</f>
        <v>Dominated</v>
      </c>
      <c r="M17" s="14" t="n">
        <f aca="false">IF(C17="Estimated","",_xlfn.MINIFS($E$6:$E$27,$B$6:$B$27,"&gt;="&amp;B17))</f>
        <v>0.82</v>
      </c>
      <c r="N17" s="14" t="n">
        <f aca="false">IF(C17="Estimated","",E17-M17)</f>
        <v>0.89</v>
      </c>
    </row>
    <row r="18" customFormat="false" ht="24" hidden="false" customHeight="true" outlineLevel="0" collapsed="false">
      <c r="A18" s="3" t="s">
        <v>29</v>
      </c>
      <c r="B18" s="7" t="n">
        <f aca="false">'Token detail'!B18</f>
        <v>51</v>
      </c>
      <c r="C18" s="8" t="s">
        <v>17</v>
      </c>
      <c r="D18" s="9" t="n">
        <f aca="false">'Token detail'!D18</f>
        <v>0.6113</v>
      </c>
      <c r="E18" s="10" t="n">
        <f aca="false">IF(C18="Estimated","",'Cost detail'!B18)</f>
        <v>1.72</v>
      </c>
      <c r="F18" s="11" t="n">
        <f aca="false">IF(C18="Estimated","",'Token detail'!E18)</f>
        <v>11794.9</v>
      </c>
      <c r="G18" s="12" t="n">
        <f aca="false">IF(C18="Estimated","",B18/E18)</f>
        <v>29.6511627906977</v>
      </c>
      <c r="H18" s="8" t="n">
        <f aca="false">IF(C18="Estimated","",1+COUNTIF($G$6:$G$27,"&gt;"&amp;G18))</f>
        <v>12</v>
      </c>
      <c r="I18" s="12" t="n">
        <f aca="false">IF(C18="Estimated","",B18/F18*1000)</f>
        <v>4.32390270371093</v>
      </c>
      <c r="J18" s="8" t="n">
        <f aca="false">IF(C18="Estimated","",1+COUNTIF($I$6:$I$27,"&gt;"&amp;I18))</f>
        <v>6</v>
      </c>
      <c r="K18" s="13" t="n">
        <f aca="false">IF(C18="Estimated","",'Token detail'!G18/F18)</f>
        <v>0.399130132514901</v>
      </c>
      <c r="L18" s="8" t="str">
        <f aca="false">IF(C18="Estimated","",IF(COUNTIFS($B$6:$B$27,"&gt;="&amp;B18,$E$6:$E$27,"&lt;="&amp;E18)&gt;1,"Dominated","Frontier"))</f>
        <v>Frontier</v>
      </c>
      <c r="M18" s="14" t="n">
        <f aca="false">IF(C18="Estimated","",_xlfn.MINIFS($E$6:$E$27,$B$6:$B$27,"&gt;="&amp;B18))</f>
        <v>1.72</v>
      </c>
      <c r="N18" s="14" t="n">
        <f aca="false">IF(C18="Estimated","",E18-M18)</f>
        <v>0</v>
      </c>
    </row>
    <row r="19" customFormat="false" ht="24" hidden="false" customHeight="true" outlineLevel="0" collapsed="false">
      <c r="A19" s="3" t="s">
        <v>30</v>
      </c>
      <c r="B19" s="7" t="n">
        <f aca="false">'Token detail'!B19</f>
        <v>47.1</v>
      </c>
      <c r="C19" s="8" t="s">
        <v>17</v>
      </c>
      <c r="D19" s="9" t="n">
        <f aca="false">'Token detail'!D19</f>
        <v>0.594</v>
      </c>
      <c r="E19" s="10" t="n">
        <f aca="false">IF(C19="Estimated","",'Cost detail'!B19)</f>
        <v>1.99</v>
      </c>
      <c r="F19" s="11" t="n">
        <f aca="false">IF(C19="Estimated","",'Token detail'!E19)</f>
        <v>29309.4</v>
      </c>
      <c r="G19" s="12" t="n">
        <f aca="false">IF(C19="Estimated","",B19/E19)</f>
        <v>23.6683417085427</v>
      </c>
      <c r="H19" s="8" t="n">
        <f aca="false">IF(C19="Estimated","",1+COUNTIF($G$6:$G$27,"&gt;"&amp;G19))</f>
        <v>14</v>
      </c>
      <c r="I19" s="12" t="n">
        <f aca="false">IF(C19="Estimated","",B19/F19*1000)</f>
        <v>1.60699297836189</v>
      </c>
      <c r="J19" s="8" t="n">
        <f aca="false">IF(C19="Estimated","",1+COUNTIF($I$6:$I$27,"&gt;"&amp;I19))</f>
        <v>13</v>
      </c>
      <c r="K19" s="13" t="n">
        <f aca="false">IF(C19="Estimated","",'Token detail'!G19/F19)</f>
        <v>0.589585593700315</v>
      </c>
      <c r="L19" s="8" t="str">
        <f aca="false">IF(C19="Estimated","",IF(COUNTIFS($B$6:$B$27,"&gt;="&amp;B19,$E$6:$E$27,"&lt;="&amp;E19)&gt;1,"Dominated","Frontier"))</f>
        <v>Dominated</v>
      </c>
      <c r="M19" s="14" t="n">
        <f aca="false">IF(C19="Estimated","",_xlfn.MINIFS($E$6:$E$27,$B$6:$B$27,"&gt;="&amp;B19))</f>
        <v>1.54</v>
      </c>
      <c r="N19" s="14" t="n">
        <f aca="false">IF(C19="Estimated","",E19-M19)</f>
        <v>0.45</v>
      </c>
    </row>
    <row r="20" customFormat="false" ht="24" hidden="false" customHeight="true" outlineLevel="0" collapsed="false">
      <c r="A20" s="3" t="s">
        <v>31</v>
      </c>
      <c r="B20" s="7" t="n">
        <f aca="false">'Token detail'!B20</f>
        <v>52.5</v>
      </c>
      <c r="C20" s="8" t="s">
        <v>17</v>
      </c>
      <c r="D20" s="9" t="n">
        <f aca="false">'Token detail'!D20</f>
        <v>0.6185</v>
      </c>
      <c r="E20" s="10" t="n">
        <f aca="false">IF(C20="Estimated","",'Cost detail'!B20)</f>
        <v>2.31</v>
      </c>
      <c r="F20" s="11" t="n">
        <f aca="false">IF(C20="Estimated","",'Token detail'!E20)</f>
        <v>16901.2</v>
      </c>
      <c r="G20" s="12" t="n">
        <f aca="false">IF(C20="Estimated","",B20/E20)</f>
        <v>22.7272727272727</v>
      </c>
      <c r="H20" s="8" t="n">
        <f aca="false">IF(C20="Estimated","",1+COUNTIF($G$6:$G$27,"&gt;"&amp;G20))</f>
        <v>15</v>
      </c>
      <c r="I20" s="12" t="n">
        <f aca="false">IF(C20="Estimated","",B20/F20*1000)</f>
        <v>3.10628831088917</v>
      </c>
      <c r="J20" s="8" t="n">
        <f aca="false">IF(C20="Estimated","",1+COUNTIF($I$6:$I$27,"&gt;"&amp;I20))</f>
        <v>8</v>
      </c>
      <c r="K20" s="13" t="n">
        <f aca="false">IF(C20="Estimated","",'Token detail'!G20/F20)</f>
        <v>0.507804179584882</v>
      </c>
      <c r="L20" s="8" t="str">
        <f aca="false">IF(C20="Estimated","",IF(COUNTIFS($B$6:$B$27,"&gt;="&amp;B20,$E$6:$E$27,"&lt;="&amp;E20)&gt;1,"Dominated","Frontier"))</f>
        <v>Frontier</v>
      </c>
      <c r="M20" s="14" t="n">
        <f aca="false">IF(C20="Estimated","",_xlfn.MINIFS($E$6:$E$27,$B$6:$B$27,"&gt;="&amp;B20))</f>
        <v>2.31</v>
      </c>
      <c r="N20" s="14" t="n">
        <f aca="false">IF(C20="Estimated","",E20-M20)</f>
        <v>0</v>
      </c>
    </row>
    <row r="21" customFormat="false" ht="24" hidden="false" customHeight="true" outlineLevel="0" collapsed="false">
      <c r="A21" s="3" t="s">
        <v>32</v>
      </c>
      <c r="B21" s="7" t="n">
        <f aca="false">'Token detail'!B21</f>
        <v>52.8</v>
      </c>
      <c r="C21" s="8" t="s">
        <v>17</v>
      </c>
      <c r="D21" s="9" t="n">
        <f aca="false">'Token detail'!D21</f>
        <v>0.626</v>
      </c>
      <c r="E21" s="10" t="n">
        <f aca="false">IF(C21="Estimated","",'Cost detail'!B21)</f>
        <v>3.26</v>
      </c>
      <c r="F21" s="11" t="n">
        <f aca="false">IF(C21="Estimated","",'Token detail'!E21)</f>
        <v>27205.5</v>
      </c>
      <c r="G21" s="12" t="n">
        <f aca="false">IF(C21="Estimated","",B21/E21)</f>
        <v>16.1963190184049</v>
      </c>
      <c r="H21" s="8" t="n">
        <f aca="false">IF(C21="Estimated","",1+COUNTIF($G$6:$G$27,"&gt;"&amp;G21))</f>
        <v>16</v>
      </c>
      <c r="I21" s="12" t="n">
        <f aca="false">IF(C21="Estimated","",B21/F21*1000)</f>
        <v>1.94078403264046</v>
      </c>
      <c r="J21" s="8" t="n">
        <f aca="false">IF(C21="Estimated","",1+COUNTIF($I$6:$I$27,"&gt;"&amp;I21))</f>
        <v>11</v>
      </c>
      <c r="K21" s="13" t="n">
        <f aca="false">IF(C21="Estimated","",'Token detail'!G21/F21)</f>
        <v>0.613523000863796</v>
      </c>
      <c r="L21" s="8" t="str">
        <f aca="false">IF(C21="Estimated","",IF(COUNTIFS($B$6:$B$27,"&gt;="&amp;B21,$E$6:$E$27,"&lt;="&amp;E21)&gt;1,"Dominated","Frontier"))</f>
        <v>Frontier</v>
      </c>
      <c r="M21" s="14" t="n">
        <f aca="false">IF(C21="Estimated","",_xlfn.MINIFS($E$6:$E$27,$B$6:$B$27,"&gt;="&amp;B21))</f>
        <v>3.26</v>
      </c>
      <c r="N21" s="14" t="n">
        <f aca="false">IF(C21="Estimated","",E21-M21)</f>
        <v>0</v>
      </c>
    </row>
    <row r="22" customFormat="false" ht="24" hidden="false" customHeight="true" outlineLevel="0" collapsed="false">
      <c r="A22" s="3" t="s">
        <v>33</v>
      </c>
      <c r="B22" s="7" t="n">
        <f aca="false">'Token detail'!B22</f>
        <v>32.9</v>
      </c>
      <c r="C22" s="8" t="s">
        <v>34</v>
      </c>
      <c r="D22" s="9" t="n">
        <f aca="false">'Token detail'!D22</f>
        <v>0.4178</v>
      </c>
      <c r="E22" s="10" t="str">
        <f aca="false">IF(C22="Estimated","",'Cost detail'!B22)</f>
        <v/>
      </c>
      <c r="F22" s="11" t="str">
        <f aca="false">IF(C22="Estimated","",'Token detail'!E22)</f>
        <v/>
      </c>
      <c r="G22" s="12" t="str">
        <f aca="false">IF(C22="Estimated","",B22/E22)</f>
        <v/>
      </c>
      <c r="H22" s="8" t="str">
        <f aca="false">IF(C22="Estimated","",1+COUNTIF($G$6:$G$27,"&gt;"&amp;G22))</f>
        <v/>
      </c>
      <c r="I22" s="12" t="str">
        <f aca="false">IF(C22="Estimated","",B22/F22*1000)</f>
        <v/>
      </c>
      <c r="J22" s="8" t="str">
        <f aca="false">IF(C22="Estimated","",1+COUNTIF($I$6:$I$27,"&gt;"&amp;I22))</f>
        <v/>
      </c>
      <c r="K22" s="13" t="str">
        <f aca="false">IF(C22="Estimated","",'Token detail'!G22/F22)</f>
        <v/>
      </c>
      <c r="L22" s="8" t="str">
        <f aca="false">IF(C22="Estimated","",IF(COUNTIFS($B$6:$B$27,"&gt;="&amp;B22,$E$6:$E$27,"&lt;="&amp;E22)&gt;1,"Dominated","Frontier"))</f>
        <v/>
      </c>
      <c r="M22" s="14" t="str">
        <f aca="false">IF(C22="Estimated","",_xlfn.MINIFS($E$6:$E$27,$B$6:$B$27,"&gt;="&amp;B22))</f>
        <v/>
      </c>
      <c r="N22" s="14" t="str">
        <f aca="false">IF(C22="Estimated","",E22-M22)</f>
        <v/>
      </c>
    </row>
    <row r="23" customFormat="false" ht="24" hidden="false" customHeight="true" outlineLevel="0" collapsed="false">
      <c r="A23" s="3" t="s">
        <v>35</v>
      </c>
      <c r="B23" s="7" t="n">
        <f aca="false">'Token detail'!B23</f>
        <v>32.8</v>
      </c>
      <c r="C23" s="8" t="s">
        <v>34</v>
      </c>
      <c r="D23" s="9" t="n">
        <f aca="false">'Token detail'!D23</f>
        <v>0.446</v>
      </c>
      <c r="E23" s="10" t="str">
        <f aca="false">IF(C23="Estimated","",'Cost detail'!B23)</f>
        <v/>
      </c>
      <c r="F23" s="11" t="str">
        <f aca="false">IF(C23="Estimated","",'Token detail'!E23)</f>
        <v/>
      </c>
      <c r="G23" s="12" t="str">
        <f aca="false">IF(C23="Estimated","",B23/E23)</f>
        <v/>
      </c>
      <c r="H23" s="8" t="str">
        <f aca="false">IF(C23="Estimated","",1+COUNTIF($G$6:$G$27,"&gt;"&amp;G23))</f>
        <v/>
      </c>
      <c r="I23" s="12" t="str">
        <f aca="false">IF(C23="Estimated","",B23/F23*1000)</f>
        <v/>
      </c>
      <c r="J23" s="8" t="str">
        <f aca="false">IF(C23="Estimated","",1+COUNTIF($I$6:$I$27,"&gt;"&amp;I23))</f>
        <v/>
      </c>
      <c r="K23" s="13" t="str">
        <f aca="false">IF(C23="Estimated","",'Token detail'!G23/F23)</f>
        <v/>
      </c>
      <c r="L23" s="8" t="str">
        <f aca="false">IF(C23="Estimated","",IF(COUNTIFS($B$6:$B$27,"&gt;="&amp;B23,$E$6:$E$27,"&lt;="&amp;E23)&gt;1,"Dominated","Frontier"))</f>
        <v/>
      </c>
      <c r="M23" s="14" t="str">
        <f aca="false">IF(C23="Estimated","",_xlfn.MINIFS($E$6:$E$27,$B$6:$B$27,"&gt;="&amp;B23))</f>
        <v/>
      </c>
      <c r="N23" s="14" t="str">
        <f aca="false">IF(C23="Estimated","",E23-M23)</f>
        <v/>
      </c>
    </row>
    <row r="24" customFormat="false" ht="24" hidden="false" customHeight="true" outlineLevel="0" collapsed="false">
      <c r="A24" s="3" t="s">
        <v>36</v>
      </c>
      <c r="B24" s="7" t="n">
        <f aca="false">'Token detail'!B24</f>
        <v>27.9</v>
      </c>
      <c r="C24" s="8" t="s">
        <v>34</v>
      </c>
      <c r="D24" s="9" t="n">
        <f aca="false">'Token detail'!D24</f>
        <v>0.4373</v>
      </c>
      <c r="E24" s="10" t="str">
        <f aca="false">IF(C24="Estimated","",'Cost detail'!B24)</f>
        <v/>
      </c>
      <c r="F24" s="11" t="str">
        <f aca="false">IF(C24="Estimated","",'Token detail'!E24)</f>
        <v/>
      </c>
      <c r="G24" s="12" t="str">
        <f aca="false">IF(C24="Estimated","",B24/E24)</f>
        <v/>
      </c>
      <c r="H24" s="8" t="str">
        <f aca="false">IF(C24="Estimated","",1+COUNTIF($G$6:$G$27,"&gt;"&amp;G24))</f>
        <v/>
      </c>
      <c r="I24" s="12" t="str">
        <f aca="false">IF(C24="Estimated","",B24/F24*1000)</f>
        <v/>
      </c>
      <c r="J24" s="8" t="str">
        <f aca="false">IF(C24="Estimated","",1+COUNTIF($I$6:$I$27,"&gt;"&amp;I24))</f>
        <v/>
      </c>
      <c r="K24" s="13" t="str">
        <f aca="false">IF(C24="Estimated","",'Token detail'!G24/F24)</f>
        <v/>
      </c>
      <c r="L24" s="8" t="str">
        <f aca="false">IF(C24="Estimated","",IF(COUNTIFS($B$6:$B$27,"&gt;="&amp;B24,$E$6:$E$27,"&lt;="&amp;E24)&gt;1,"Dominated","Frontier"))</f>
        <v/>
      </c>
      <c r="M24" s="14" t="str">
        <f aca="false">IF(C24="Estimated","",_xlfn.MINIFS($E$6:$E$27,$B$6:$B$27,"&gt;="&amp;B24))</f>
        <v/>
      </c>
      <c r="N24" s="14" t="str">
        <f aca="false">IF(C24="Estimated","",E24-M24)</f>
        <v/>
      </c>
    </row>
    <row r="25" customFormat="false" ht="24" hidden="false" customHeight="true" outlineLevel="0" collapsed="false">
      <c r="A25" s="3" t="s">
        <v>37</v>
      </c>
      <c r="B25" s="7" t="n">
        <f aca="false">'Token detail'!B25</f>
        <v>25.8</v>
      </c>
      <c r="C25" s="8" t="s">
        <v>34</v>
      </c>
      <c r="D25" s="9" t="n">
        <f aca="false">'Token detail'!D25</f>
        <v>0.407</v>
      </c>
      <c r="E25" s="10" t="str">
        <f aca="false">IF(C25="Estimated","",'Cost detail'!B25)</f>
        <v/>
      </c>
      <c r="F25" s="11" t="str">
        <f aca="false">IF(C25="Estimated","",'Token detail'!E25)</f>
        <v/>
      </c>
      <c r="G25" s="12" t="str">
        <f aca="false">IF(C25="Estimated","",B25/E25)</f>
        <v/>
      </c>
      <c r="H25" s="8" t="str">
        <f aca="false">IF(C25="Estimated","",1+COUNTIF($G$6:$G$27,"&gt;"&amp;G25))</f>
        <v/>
      </c>
      <c r="I25" s="12" t="str">
        <f aca="false">IF(C25="Estimated","",B25/F25*1000)</f>
        <v/>
      </c>
      <c r="J25" s="8" t="str">
        <f aca="false">IF(C25="Estimated","",1+COUNTIF($I$6:$I$27,"&gt;"&amp;I25))</f>
        <v/>
      </c>
      <c r="K25" s="13" t="str">
        <f aca="false">IF(C25="Estimated","",'Token detail'!G25/F25)</f>
        <v/>
      </c>
      <c r="L25" s="8" t="str">
        <f aca="false">IF(C25="Estimated","",IF(COUNTIFS($B$6:$B$27,"&gt;="&amp;B25,$E$6:$E$27,"&lt;="&amp;E25)&gt;1,"Dominated","Frontier"))</f>
        <v/>
      </c>
      <c r="M25" s="14" t="str">
        <f aca="false">IF(C25="Estimated","",_xlfn.MINIFS($E$6:$E$27,$B$6:$B$27,"&gt;="&amp;B25))</f>
        <v/>
      </c>
      <c r="N25" s="14" t="str">
        <f aca="false">IF(C25="Estimated","",E25-M25)</f>
        <v/>
      </c>
    </row>
    <row r="26" customFormat="false" ht="15" hidden="false" customHeight="true" outlineLevel="0" collapsed="false">
      <c r="A26" s="3" t="s">
        <v>38</v>
      </c>
      <c r="B26" s="7" t="n">
        <f aca="false">'Token detail'!B26</f>
        <v>22.3</v>
      </c>
      <c r="C26" s="8" t="s">
        <v>34</v>
      </c>
      <c r="D26" s="9" t="n">
        <f aca="false">'Token detail'!D26</f>
        <v>0.3682</v>
      </c>
      <c r="E26" s="10" t="str">
        <f aca="false">IF(C26="Estimated","",'Cost detail'!B26)</f>
        <v/>
      </c>
      <c r="F26" s="11" t="str">
        <f aca="false">IF(C26="Estimated","",'Token detail'!E26)</f>
        <v/>
      </c>
      <c r="G26" s="12" t="str">
        <f aca="false">IF(C26="Estimated","",B26/E26)</f>
        <v/>
      </c>
      <c r="H26" s="8" t="str">
        <f aca="false">IF(C26="Estimated","",1+COUNTIF($G$6:$G$27,"&gt;"&amp;G26))</f>
        <v/>
      </c>
      <c r="I26" s="12" t="str">
        <f aca="false">IF(C26="Estimated","",B26/F26*1000)</f>
        <v/>
      </c>
      <c r="J26" s="8" t="str">
        <f aca="false">IF(C26="Estimated","",1+COUNTIF($I$6:$I$27,"&gt;"&amp;I26))</f>
        <v/>
      </c>
      <c r="K26" s="13" t="str">
        <f aca="false">IF(C26="Estimated","",'Token detail'!G26/F26)</f>
        <v/>
      </c>
      <c r="L26" s="8" t="str">
        <f aca="false">IF(C26="Estimated","",IF(COUNTIFS($B$6:$B$27,"&gt;="&amp;B26,$E$6:$E$27,"&lt;="&amp;E26)&gt;1,"Dominated","Frontier"))</f>
        <v/>
      </c>
      <c r="M26" s="14" t="str">
        <f aca="false">IF(C26="Estimated","",_xlfn.MINIFS($E$6:$E$27,$B$6:$B$27,"&gt;="&amp;B26))</f>
        <v/>
      </c>
      <c r="N26" s="14" t="str">
        <f aca="false">IF(C26="Estimated","",E26-M26)</f>
        <v/>
      </c>
    </row>
    <row r="27" customFormat="false" ht="15" hidden="false" customHeight="true" outlineLevel="0" collapsed="false">
      <c r="A27" s="3" t="s">
        <v>39</v>
      </c>
      <c r="B27" s="7" t="n">
        <f aca="false">'Token detail'!B27</f>
        <v>21.8</v>
      </c>
      <c r="C27" s="8" t="s">
        <v>34</v>
      </c>
      <c r="D27" s="9" t="n">
        <f aca="false">'Token detail'!D27</f>
        <v>0.3962</v>
      </c>
      <c r="E27" s="10" t="str">
        <f aca="false">IF(C27="Estimated","",'Cost detail'!B27)</f>
        <v/>
      </c>
      <c r="F27" s="11" t="str">
        <f aca="false">IF(C27="Estimated","",'Token detail'!E27)</f>
        <v/>
      </c>
      <c r="G27" s="12" t="str">
        <f aca="false">IF(C27="Estimated","",B27/E27)</f>
        <v/>
      </c>
      <c r="H27" s="8" t="str">
        <f aca="false">IF(C27="Estimated","",1+COUNTIF($G$6:$G$27,"&gt;"&amp;G27))</f>
        <v/>
      </c>
      <c r="I27" s="12" t="str">
        <f aca="false">IF(C27="Estimated","",B27/F27*1000)</f>
        <v/>
      </c>
      <c r="J27" s="8" t="str">
        <f aca="false">IF(C27="Estimated","",1+COUNTIF($I$6:$I$27,"&gt;"&amp;I27))</f>
        <v/>
      </c>
      <c r="K27" s="13" t="str">
        <f aca="false">IF(C27="Estimated","",'Token detail'!G27/F27)</f>
        <v/>
      </c>
      <c r="L27" s="8" t="str">
        <f aca="false">IF(C27="Estimated","",IF(COUNTIFS($B$6:$B$27,"&gt;="&amp;B27,$E$6:$E$27,"&lt;="&amp;E27)&gt;1,"Dominated","Frontier"))</f>
        <v/>
      </c>
      <c r="M27" s="14" t="str">
        <f aca="false">IF(C27="Estimated","",_xlfn.MINIFS($E$6:$E$27,$B$6:$B$27,"&gt;="&amp;B27))</f>
        <v/>
      </c>
      <c r="N27" s="14" t="str">
        <f aca="false">IF(C27="Estimated","",E27-M27)</f>
        <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29"/>
    <col collapsed="false" customWidth="true" hidden="false" outlineLevel="0" max="10" min="2" style="1" width="17"/>
  </cols>
  <sheetData>
    <row r="1" customFormat="false" ht="30" hidden="false" customHeight="true" outlineLevel="0" collapsed="false">
      <c r="A1" s="2" t="s">
        <v>40</v>
      </c>
      <c r="B1" s="3"/>
      <c r="C1" s="3"/>
      <c r="D1" s="3"/>
      <c r="E1" s="3"/>
      <c r="F1" s="3"/>
      <c r="G1" s="3"/>
      <c r="H1" s="3"/>
      <c r="I1" s="3"/>
      <c r="J1" s="3"/>
    </row>
    <row r="2" customFormat="false" ht="15" hidden="false" customHeight="true" outlineLevel="0" collapsed="false">
      <c r="A2" s="4" t="s">
        <v>41</v>
      </c>
      <c r="B2" s="3"/>
      <c r="C2" s="3"/>
      <c r="D2" s="3"/>
      <c r="E2" s="3"/>
      <c r="F2" s="3"/>
      <c r="G2" s="3"/>
      <c r="H2" s="3"/>
      <c r="I2" s="3"/>
      <c r="J2" s="3"/>
    </row>
    <row r="3" customFormat="false" ht="15" hidden="false" customHeight="true" outlineLevel="0" collapsed="false">
      <c r="A3" s="3"/>
      <c r="B3" s="3"/>
      <c r="C3" s="3"/>
      <c r="D3" s="3"/>
      <c r="E3" s="3"/>
      <c r="F3" s="3"/>
      <c r="G3" s="3"/>
      <c r="H3" s="3"/>
      <c r="I3" s="3"/>
      <c r="J3" s="3"/>
    </row>
    <row r="4" customFormat="false" ht="15" hidden="false" customHeight="true" outlineLevel="0" collapsed="false">
      <c r="A4" s="3"/>
      <c r="B4" s="3"/>
      <c r="C4" s="3"/>
      <c r="D4" s="3"/>
      <c r="E4" s="3"/>
      <c r="F4" s="3"/>
      <c r="G4" s="3"/>
      <c r="H4" s="3"/>
      <c r="I4" s="3"/>
      <c r="J4" s="3"/>
    </row>
    <row r="5" customFormat="false" ht="43.5" hidden="false" customHeight="true" outlineLevel="0" collapsed="false">
      <c r="A5" s="5" t="s">
        <v>2</v>
      </c>
      <c r="B5" s="5" t="s">
        <v>3</v>
      </c>
      <c r="C5" s="5" t="s">
        <v>4</v>
      </c>
      <c r="D5" s="5" t="s">
        <v>42</v>
      </c>
      <c r="E5" s="5" t="s">
        <v>7</v>
      </c>
      <c r="F5" s="5" t="s">
        <v>43</v>
      </c>
      <c r="G5" s="5" t="s">
        <v>44</v>
      </c>
      <c r="H5" s="5" t="s">
        <v>45</v>
      </c>
      <c r="I5" s="5" t="s">
        <v>46</v>
      </c>
      <c r="J5" s="5" t="s">
        <v>47</v>
      </c>
    </row>
    <row r="6" customFormat="false" ht="24" hidden="false" customHeight="true" outlineLevel="0" collapsed="false">
      <c r="A6" s="3" t="s">
        <v>16</v>
      </c>
      <c r="B6" s="15" t="n">
        <v>34.8</v>
      </c>
      <c r="C6" s="3" t="s">
        <v>17</v>
      </c>
      <c r="D6" s="16" t="n">
        <v>0.4245</v>
      </c>
      <c r="E6" s="17" t="n">
        <v>23624.5</v>
      </c>
      <c r="F6" s="17" t="n">
        <v>8901.3</v>
      </c>
      <c r="G6" s="17" t="n">
        <v>14723.2</v>
      </c>
      <c r="H6" s="18" t="n">
        <v>85174201</v>
      </c>
      <c r="I6" s="18" t="n">
        <v>14695373</v>
      </c>
      <c r="J6" s="18" t="n">
        <v>70478828</v>
      </c>
    </row>
    <row r="7" customFormat="false" ht="24" hidden="false" customHeight="true" outlineLevel="0" collapsed="false">
      <c r="A7" s="3" t="s">
        <v>18</v>
      </c>
      <c r="B7" s="15" t="n">
        <v>37.5</v>
      </c>
      <c r="C7" s="3" t="s">
        <v>17</v>
      </c>
      <c r="D7" s="16" t="n">
        <v>0.4273</v>
      </c>
      <c r="E7" s="17" t="n">
        <v>41234.6</v>
      </c>
      <c r="F7" s="17" t="n">
        <v>13136.3</v>
      </c>
      <c r="G7" s="17" t="n">
        <v>28098.3</v>
      </c>
      <c r="H7" s="18" t="n">
        <v>153656724</v>
      </c>
      <c r="I7" s="18" t="n">
        <v>18347818</v>
      </c>
      <c r="J7" s="18" t="n">
        <v>135308906</v>
      </c>
    </row>
    <row r="8" customFormat="false" ht="24" hidden="false" customHeight="true" outlineLevel="0" collapsed="false">
      <c r="A8" s="3" t="s">
        <v>19</v>
      </c>
      <c r="B8" s="15" t="n">
        <v>33.8</v>
      </c>
      <c r="C8" s="3" t="s">
        <v>17</v>
      </c>
      <c r="D8" s="16" t="n">
        <v>0.5717</v>
      </c>
      <c r="E8" s="17" t="n">
        <v>3974.4</v>
      </c>
      <c r="F8" s="17" t="n">
        <v>3137.2</v>
      </c>
      <c r="G8" s="17" t="n">
        <v>837.2</v>
      </c>
      <c r="H8" s="18" t="n">
        <v>12646474</v>
      </c>
      <c r="I8" s="18" t="n">
        <v>7849391</v>
      </c>
      <c r="J8" s="18" t="n">
        <v>4797083</v>
      </c>
    </row>
    <row r="9" customFormat="false" ht="24" hidden="false" customHeight="true" outlineLevel="0" collapsed="false">
      <c r="A9" s="3" t="s">
        <v>20</v>
      </c>
      <c r="B9" s="15" t="n">
        <v>34.5</v>
      </c>
      <c r="C9" s="3" t="s">
        <v>17</v>
      </c>
      <c r="D9" s="16" t="n">
        <v>0.4548</v>
      </c>
      <c r="E9" s="17" t="n">
        <v>11293.7</v>
      </c>
      <c r="F9" s="17" t="n">
        <v>5852.2</v>
      </c>
      <c r="G9" s="17" t="n">
        <v>5441.4</v>
      </c>
      <c r="H9" s="18" t="n">
        <v>33205685</v>
      </c>
      <c r="I9" s="18" t="n">
        <v>11108868</v>
      </c>
      <c r="J9" s="18" t="n">
        <v>22096817</v>
      </c>
    </row>
    <row r="10" customFormat="false" ht="24" hidden="false" customHeight="true" outlineLevel="0" collapsed="false">
      <c r="A10" s="3" t="s">
        <v>21</v>
      </c>
      <c r="B10" s="15" t="n">
        <v>39.5</v>
      </c>
      <c r="C10" s="3" t="s">
        <v>17</v>
      </c>
      <c r="D10" s="16" t="n">
        <v>0.5775</v>
      </c>
      <c r="E10" s="17" t="n">
        <v>7874</v>
      </c>
      <c r="F10" s="17" t="n">
        <v>5211.8</v>
      </c>
      <c r="G10" s="17" t="n">
        <v>2662.2</v>
      </c>
      <c r="H10" s="18" t="n">
        <v>21267358</v>
      </c>
      <c r="I10" s="18" t="n">
        <v>10644958</v>
      </c>
      <c r="J10" s="18" t="n">
        <v>10622400</v>
      </c>
    </row>
    <row r="11" customFormat="false" ht="24" hidden="false" customHeight="true" outlineLevel="0" collapsed="false">
      <c r="A11" s="3" t="s">
        <v>22</v>
      </c>
      <c r="B11" s="15" t="n">
        <v>38.2</v>
      </c>
      <c r="C11" s="3" t="s">
        <v>17</v>
      </c>
      <c r="D11" s="16" t="n">
        <v>0.4552</v>
      </c>
      <c r="E11" s="17" t="n">
        <v>20367.3</v>
      </c>
      <c r="F11" s="17" t="n">
        <v>8855.7</v>
      </c>
      <c r="G11" s="17" t="n">
        <v>11511.7</v>
      </c>
      <c r="H11" s="18" t="n">
        <v>51995246</v>
      </c>
      <c r="I11" s="18" t="n">
        <v>14062667</v>
      </c>
      <c r="J11" s="18" t="n">
        <v>37932579</v>
      </c>
    </row>
    <row r="12" customFormat="false" ht="24" hidden="false" customHeight="true" outlineLevel="0" collapsed="false">
      <c r="A12" s="3" t="s">
        <v>23</v>
      </c>
      <c r="B12" s="15" t="n">
        <v>42.5</v>
      </c>
      <c r="C12" s="3" t="s">
        <v>17</v>
      </c>
      <c r="D12" s="16" t="n">
        <v>0.5835</v>
      </c>
      <c r="E12" s="17" t="n">
        <v>13250</v>
      </c>
      <c r="F12" s="17" t="n">
        <v>7374.7</v>
      </c>
      <c r="G12" s="17" t="n">
        <v>5875.3</v>
      </c>
      <c r="H12" s="18" t="n">
        <v>33729509</v>
      </c>
      <c r="I12" s="18" t="n">
        <v>12964230</v>
      </c>
      <c r="J12" s="18" t="n">
        <v>20765279</v>
      </c>
    </row>
    <row r="13" customFormat="false" ht="24" hidden="false" customHeight="true" outlineLevel="0" collapsed="false">
      <c r="A13" s="3" t="s">
        <v>24</v>
      </c>
      <c r="B13" s="15" t="n">
        <v>46</v>
      </c>
      <c r="C13" s="3" t="s">
        <v>17</v>
      </c>
      <c r="D13" s="16" t="n">
        <v>0.5953</v>
      </c>
      <c r="E13" s="17" t="n">
        <v>4432.7</v>
      </c>
      <c r="F13" s="17" t="n">
        <v>3495.1</v>
      </c>
      <c r="G13" s="17" t="n">
        <v>937.7</v>
      </c>
      <c r="H13" s="18" t="n">
        <v>9994716</v>
      </c>
      <c r="I13" s="18" t="n">
        <v>7599665</v>
      </c>
      <c r="J13" s="18" t="n">
        <v>2395051</v>
      </c>
    </row>
    <row r="14" customFormat="false" ht="24" hidden="false" customHeight="true" outlineLevel="0" collapsed="false">
      <c r="A14" s="3" t="s">
        <v>25</v>
      </c>
      <c r="B14" s="15" t="n">
        <v>44.1</v>
      </c>
      <c r="C14" s="3" t="s">
        <v>17</v>
      </c>
      <c r="D14" s="16" t="n">
        <v>0.5882</v>
      </c>
      <c r="E14" s="17" t="n">
        <v>19576.3</v>
      </c>
      <c r="F14" s="17" t="n">
        <v>9450.4</v>
      </c>
      <c r="G14" s="17" t="n">
        <v>10125.9</v>
      </c>
      <c r="H14" s="18" t="n">
        <v>50998357</v>
      </c>
      <c r="I14" s="18" t="n">
        <v>15027018</v>
      </c>
      <c r="J14" s="18" t="n">
        <v>35971339</v>
      </c>
    </row>
    <row r="15" customFormat="false" ht="24" hidden="false" customHeight="true" outlineLevel="0" collapsed="false">
      <c r="A15" s="3" t="s">
        <v>26</v>
      </c>
      <c r="B15" s="15" t="n">
        <v>42.3</v>
      </c>
      <c r="C15" s="3" t="s">
        <v>17</v>
      </c>
      <c r="D15" s="16" t="n">
        <v>0.468</v>
      </c>
      <c r="E15" s="17" t="n">
        <v>38897.5</v>
      </c>
      <c r="F15" s="17" t="n">
        <v>12853.5</v>
      </c>
      <c r="G15" s="17" t="n">
        <v>26043.9</v>
      </c>
      <c r="H15" s="18" t="n">
        <v>121832989</v>
      </c>
      <c r="I15" s="18" t="n">
        <v>17566953</v>
      </c>
      <c r="J15" s="18" t="n">
        <v>104266036</v>
      </c>
    </row>
    <row r="16" customFormat="false" ht="24" hidden="false" customHeight="true" outlineLevel="0" collapsed="false">
      <c r="A16" s="3" t="s">
        <v>27</v>
      </c>
      <c r="B16" s="15" t="n">
        <v>49.7</v>
      </c>
      <c r="C16" s="3" t="s">
        <v>17</v>
      </c>
      <c r="D16" s="16" t="n">
        <v>0.6057</v>
      </c>
      <c r="E16" s="17" t="n">
        <v>9589.6</v>
      </c>
      <c r="F16" s="17" t="n">
        <v>6167.9</v>
      </c>
      <c r="G16" s="17" t="n">
        <v>3421.7</v>
      </c>
      <c r="H16" s="18" t="n">
        <v>18913587</v>
      </c>
      <c r="I16" s="18" t="n">
        <v>10809789</v>
      </c>
      <c r="J16" s="18" t="n">
        <v>8103798</v>
      </c>
    </row>
    <row r="17" customFormat="false" ht="24" hidden="false" customHeight="true" outlineLevel="0" collapsed="false">
      <c r="A17" s="3" t="s">
        <v>28</v>
      </c>
      <c r="B17" s="15" t="n">
        <v>45.2</v>
      </c>
      <c r="C17" s="3" t="s">
        <v>17</v>
      </c>
      <c r="D17" s="16" t="n">
        <v>0.556</v>
      </c>
      <c r="E17" s="17" t="n">
        <v>7629.7</v>
      </c>
      <c r="F17" s="17" t="n">
        <v>7629.7</v>
      </c>
      <c r="G17" s="17" t="n">
        <v>0</v>
      </c>
      <c r="H17" s="18" t="n">
        <v>12377780</v>
      </c>
      <c r="I17" s="18" t="n">
        <v>12377780</v>
      </c>
      <c r="J17" s="18" t="n">
        <v>0</v>
      </c>
    </row>
    <row r="18" customFormat="false" ht="24" hidden="false" customHeight="true" outlineLevel="0" collapsed="false">
      <c r="A18" s="3" t="s">
        <v>29</v>
      </c>
      <c r="B18" s="15" t="n">
        <v>51</v>
      </c>
      <c r="C18" s="3" t="s">
        <v>17</v>
      </c>
      <c r="D18" s="16" t="n">
        <v>0.6113</v>
      </c>
      <c r="E18" s="17" t="n">
        <v>11794.9</v>
      </c>
      <c r="F18" s="17" t="n">
        <v>7087.2</v>
      </c>
      <c r="G18" s="17" t="n">
        <v>4707.7</v>
      </c>
      <c r="H18" s="18" t="n">
        <v>26187637</v>
      </c>
      <c r="I18" s="18" t="n">
        <v>12166309</v>
      </c>
      <c r="J18" s="18" t="n">
        <v>14021328</v>
      </c>
    </row>
    <row r="19" customFormat="false" ht="24" hidden="false" customHeight="true" outlineLevel="0" collapsed="false">
      <c r="A19" s="3" t="s">
        <v>30</v>
      </c>
      <c r="B19" s="15" t="n">
        <v>47.1</v>
      </c>
      <c r="C19" s="3" t="s">
        <v>17</v>
      </c>
      <c r="D19" s="16" t="n">
        <v>0.594</v>
      </c>
      <c r="E19" s="17" t="n">
        <v>29309.4</v>
      </c>
      <c r="F19" s="17" t="n">
        <v>12028.9</v>
      </c>
      <c r="G19" s="17" t="n">
        <v>17280.4</v>
      </c>
      <c r="H19" s="18" t="n">
        <v>89979207</v>
      </c>
      <c r="I19" s="18" t="n">
        <v>17377727</v>
      </c>
      <c r="J19" s="18" t="n">
        <v>72601480</v>
      </c>
    </row>
    <row r="20" customFormat="false" ht="24" hidden="false" customHeight="true" outlineLevel="0" collapsed="false">
      <c r="A20" s="3" t="s">
        <v>31</v>
      </c>
      <c r="B20" s="15" t="n">
        <v>52.5</v>
      </c>
      <c r="C20" s="3" t="s">
        <v>17</v>
      </c>
      <c r="D20" s="16" t="n">
        <v>0.6185</v>
      </c>
      <c r="E20" s="17" t="n">
        <v>16901.2</v>
      </c>
      <c r="F20" s="17" t="n">
        <v>8318.7</v>
      </c>
      <c r="G20" s="17" t="n">
        <v>8582.5</v>
      </c>
      <c r="H20" s="18" t="n">
        <v>37901142</v>
      </c>
      <c r="I20" s="18" t="n">
        <v>13409872</v>
      </c>
      <c r="J20" s="18" t="n">
        <v>24491270</v>
      </c>
    </row>
    <row r="21" customFormat="false" ht="24" hidden="false" customHeight="true" outlineLevel="0" collapsed="false">
      <c r="A21" s="3" t="s">
        <v>32</v>
      </c>
      <c r="B21" s="15" t="n">
        <v>52.8</v>
      </c>
      <c r="C21" s="3" t="s">
        <v>17</v>
      </c>
      <c r="D21" s="16" t="n">
        <v>0.626</v>
      </c>
      <c r="E21" s="17" t="n">
        <v>27205.5</v>
      </c>
      <c r="F21" s="17" t="n">
        <v>10514.3</v>
      </c>
      <c r="G21" s="17" t="n">
        <v>16691.2</v>
      </c>
      <c r="H21" s="18" t="n">
        <v>60007725</v>
      </c>
      <c r="I21" s="18" t="n">
        <v>15559937</v>
      </c>
      <c r="J21" s="18" t="n">
        <v>44447788</v>
      </c>
    </row>
    <row r="22" customFormat="false" ht="24" hidden="false" customHeight="true" outlineLevel="0" collapsed="false">
      <c r="A22" s="3" t="s">
        <v>33</v>
      </c>
      <c r="B22" s="15" t="n">
        <v>32.9</v>
      </c>
      <c r="C22" s="3" t="s">
        <v>34</v>
      </c>
      <c r="D22" s="16" t="n">
        <v>0.4178</v>
      </c>
      <c r="E22" s="17"/>
      <c r="F22" s="17"/>
      <c r="G22" s="17"/>
      <c r="H22" s="18"/>
      <c r="I22" s="18"/>
      <c r="J22" s="18"/>
    </row>
    <row r="23" customFormat="false" ht="24" hidden="false" customHeight="true" outlineLevel="0" collapsed="false">
      <c r="A23" s="3" t="s">
        <v>35</v>
      </c>
      <c r="B23" s="15" t="n">
        <v>32.8</v>
      </c>
      <c r="C23" s="3" t="s">
        <v>34</v>
      </c>
      <c r="D23" s="16" t="n">
        <v>0.446</v>
      </c>
      <c r="E23" s="17"/>
      <c r="F23" s="17"/>
      <c r="G23" s="17"/>
      <c r="H23" s="18"/>
      <c r="I23" s="18"/>
      <c r="J23" s="18"/>
    </row>
    <row r="24" customFormat="false" ht="24" hidden="false" customHeight="true" outlineLevel="0" collapsed="false">
      <c r="A24" s="3" t="s">
        <v>36</v>
      </c>
      <c r="B24" s="15" t="n">
        <v>27.9</v>
      </c>
      <c r="C24" s="3" t="s">
        <v>34</v>
      </c>
      <c r="D24" s="16" t="n">
        <v>0.4373</v>
      </c>
      <c r="E24" s="17"/>
      <c r="F24" s="17"/>
      <c r="G24" s="17"/>
      <c r="H24" s="18"/>
      <c r="I24" s="18"/>
      <c r="J24" s="18"/>
    </row>
    <row r="25" customFormat="false" ht="24" hidden="false" customHeight="true" outlineLevel="0" collapsed="false">
      <c r="A25" s="3" t="s">
        <v>37</v>
      </c>
      <c r="B25" s="15" t="n">
        <v>25.8</v>
      </c>
      <c r="C25" s="3" t="s">
        <v>34</v>
      </c>
      <c r="D25" s="16" t="n">
        <v>0.407</v>
      </c>
      <c r="E25" s="17"/>
      <c r="F25" s="17"/>
      <c r="G25" s="17"/>
      <c r="H25" s="18"/>
      <c r="I25" s="18"/>
      <c r="J25" s="18"/>
    </row>
    <row r="26" customFormat="false" ht="15" hidden="false" customHeight="true" outlineLevel="0" collapsed="false">
      <c r="A26" s="3" t="s">
        <v>38</v>
      </c>
      <c r="B26" s="15" t="n">
        <v>22.3</v>
      </c>
      <c r="C26" s="3" t="s">
        <v>34</v>
      </c>
      <c r="D26" s="16" t="n">
        <v>0.3682</v>
      </c>
      <c r="E26" s="17"/>
      <c r="F26" s="17"/>
      <c r="G26" s="17"/>
      <c r="H26" s="18"/>
      <c r="I26" s="18"/>
      <c r="J26" s="18"/>
    </row>
    <row r="27" customFormat="false" ht="15" hidden="false" customHeight="true" outlineLevel="0" collapsed="false">
      <c r="A27" s="3" t="s">
        <v>39</v>
      </c>
      <c r="B27" s="15" t="n">
        <v>21.8</v>
      </c>
      <c r="C27" s="3" t="s">
        <v>34</v>
      </c>
      <c r="D27" s="16" t="n">
        <v>0.3962</v>
      </c>
      <c r="E27" s="17"/>
      <c r="F27" s="17"/>
      <c r="G27" s="17"/>
      <c r="H27" s="18"/>
      <c r="I27" s="18"/>
      <c r="J27" s="1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29"/>
    <col collapsed="false" customWidth="true" hidden="false" outlineLevel="0" max="13" min="2" style="1" width="17"/>
  </cols>
  <sheetData>
    <row r="1" customFormat="false" ht="30" hidden="false" customHeight="true" outlineLevel="0" collapsed="false">
      <c r="A1" s="2" t="s">
        <v>48</v>
      </c>
      <c r="B1" s="3"/>
      <c r="C1" s="3"/>
      <c r="D1" s="3"/>
      <c r="E1" s="3"/>
      <c r="F1" s="3"/>
      <c r="G1" s="3"/>
      <c r="H1" s="3"/>
      <c r="I1" s="3"/>
      <c r="J1" s="3"/>
      <c r="K1" s="3"/>
      <c r="L1" s="3"/>
      <c r="M1" s="3"/>
    </row>
    <row r="2" customFormat="false" ht="15" hidden="false" customHeight="true" outlineLevel="0" collapsed="false">
      <c r="A2" s="4" t="s">
        <v>49</v>
      </c>
      <c r="B2" s="3"/>
      <c r="C2" s="3"/>
      <c r="D2" s="3"/>
      <c r="E2" s="3"/>
      <c r="F2" s="3"/>
      <c r="G2" s="3"/>
      <c r="H2" s="3"/>
      <c r="I2" s="3"/>
      <c r="J2" s="3"/>
      <c r="K2" s="3"/>
      <c r="L2" s="3"/>
      <c r="M2" s="3"/>
    </row>
    <row r="3" customFormat="false" ht="15" hidden="false" customHeight="true" outlineLevel="0" collapsed="false">
      <c r="A3" s="3"/>
      <c r="B3" s="3"/>
      <c r="C3" s="3"/>
      <c r="D3" s="3"/>
      <c r="E3" s="3"/>
      <c r="F3" s="3"/>
      <c r="G3" s="3"/>
      <c r="H3" s="3"/>
      <c r="I3" s="3"/>
      <c r="J3" s="3"/>
      <c r="K3" s="3"/>
      <c r="L3" s="3"/>
      <c r="M3" s="3"/>
    </row>
    <row r="4" customFormat="false" ht="15" hidden="false" customHeight="true" outlineLevel="0" collapsed="false">
      <c r="A4" s="3"/>
      <c r="B4" s="3"/>
      <c r="C4" s="3"/>
      <c r="D4" s="3"/>
      <c r="E4" s="3"/>
      <c r="F4" s="3"/>
      <c r="G4" s="3"/>
      <c r="H4" s="3"/>
      <c r="I4" s="3"/>
      <c r="J4" s="3"/>
      <c r="K4" s="3"/>
      <c r="L4" s="3"/>
      <c r="M4" s="3"/>
    </row>
    <row r="5" customFormat="false" ht="43.5" hidden="false" customHeight="true" outlineLevel="0" collapsed="false">
      <c r="A5" s="5" t="s">
        <v>2</v>
      </c>
      <c r="B5" s="5" t="s">
        <v>50</v>
      </c>
      <c r="C5" s="5" t="s">
        <v>51</v>
      </c>
      <c r="D5" s="5" t="s">
        <v>52</v>
      </c>
      <c r="E5" s="5" t="s">
        <v>53</v>
      </c>
      <c r="F5" s="5" t="s">
        <v>54</v>
      </c>
      <c r="G5" s="5" t="s">
        <v>55</v>
      </c>
      <c r="H5" s="5" t="s">
        <v>56</v>
      </c>
      <c r="I5" s="5" t="s">
        <v>57</v>
      </c>
      <c r="J5" s="5" t="s">
        <v>58</v>
      </c>
      <c r="K5" s="5" t="s">
        <v>59</v>
      </c>
      <c r="L5" s="5" t="s">
        <v>60</v>
      </c>
      <c r="M5" s="5" t="s">
        <v>61</v>
      </c>
    </row>
    <row r="6" customFormat="false" ht="24" hidden="false" customHeight="true" outlineLevel="0" collapsed="false">
      <c r="A6" s="3" t="s">
        <v>16</v>
      </c>
      <c r="B6" s="19" t="n">
        <v>0.09</v>
      </c>
      <c r="C6" s="19" t="n">
        <v>0.01</v>
      </c>
      <c r="D6" s="19" t="n">
        <v>0.02</v>
      </c>
      <c r="E6" s="19" t="n">
        <v>0.01</v>
      </c>
      <c r="F6" s="19" t="n">
        <v>0.04</v>
      </c>
      <c r="G6" s="20" t="n">
        <v>0.0042</v>
      </c>
      <c r="H6" s="21" t="n">
        <v>179</v>
      </c>
      <c r="I6" s="21" t="n">
        <v>18</v>
      </c>
      <c r="J6" s="21" t="n">
        <v>85</v>
      </c>
      <c r="K6" s="21" t="n">
        <v>26</v>
      </c>
      <c r="L6" s="21" t="n">
        <v>46</v>
      </c>
      <c r="M6" s="21" t="n">
        <v>5</v>
      </c>
    </row>
    <row r="7" customFormat="false" ht="24" hidden="false" customHeight="true" outlineLevel="0" collapsed="false">
      <c r="A7" s="3" t="s">
        <v>18</v>
      </c>
      <c r="B7" s="19" t="n">
        <v>0.18</v>
      </c>
      <c r="C7" s="19" t="n">
        <v>0.02</v>
      </c>
      <c r="D7" s="19" t="n">
        <v>0.03</v>
      </c>
      <c r="E7" s="19" t="n">
        <v>0.03</v>
      </c>
      <c r="F7" s="19" t="n">
        <v>0.1</v>
      </c>
      <c r="G7" s="20" t="n">
        <v>0.0046</v>
      </c>
      <c r="H7" s="21" t="n">
        <v>320</v>
      </c>
      <c r="I7" s="21" t="n">
        <v>22</v>
      </c>
      <c r="J7" s="21" t="n">
        <v>162</v>
      </c>
      <c r="K7" s="21" t="n">
        <v>36</v>
      </c>
      <c r="L7" s="21" t="n">
        <v>94</v>
      </c>
      <c r="M7" s="21" t="n">
        <v>6</v>
      </c>
    </row>
    <row r="8" customFormat="false" ht="24" hidden="false" customHeight="true" outlineLevel="0" collapsed="false">
      <c r="A8" s="3" t="s">
        <v>19</v>
      </c>
      <c r="B8" s="19" t="n">
        <v>0.26</v>
      </c>
      <c r="C8" s="19" t="n">
        <v>0.06</v>
      </c>
      <c r="D8" s="19" t="n">
        <v>0.02</v>
      </c>
      <c r="E8" s="19" t="n">
        <v>0.06</v>
      </c>
      <c r="F8" s="19" t="n">
        <v>0.04</v>
      </c>
      <c r="G8" s="20" t="n">
        <v>0.08</v>
      </c>
      <c r="H8" s="21" t="n">
        <v>637</v>
      </c>
      <c r="I8" s="21" t="n">
        <v>157</v>
      </c>
      <c r="J8" s="21" t="n">
        <v>96</v>
      </c>
      <c r="K8" s="21" t="n">
        <v>165</v>
      </c>
      <c r="L8" s="21" t="n">
        <v>112</v>
      </c>
      <c r="M8" s="21" t="n">
        <v>107</v>
      </c>
    </row>
    <row r="9" customFormat="false" ht="24" hidden="false" customHeight="true" outlineLevel="0" collapsed="false">
      <c r="A9" s="3" t="s">
        <v>20</v>
      </c>
      <c r="B9" s="19" t="n">
        <v>0.34</v>
      </c>
      <c r="C9" s="19" t="n">
        <v>0.07</v>
      </c>
      <c r="D9" s="19" t="n">
        <v>0.07</v>
      </c>
      <c r="E9" s="19" t="n">
        <v>0.07</v>
      </c>
      <c r="F9" s="19" t="n">
        <v>0.09</v>
      </c>
      <c r="G9" s="20" t="n">
        <v>0.04</v>
      </c>
      <c r="H9" s="21" t="n">
        <v>768</v>
      </c>
      <c r="I9" s="21" t="n">
        <v>133</v>
      </c>
      <c r="J9" s="21" t="n">
        <v>265</v>
      </c>
      <c r="K9" s="21" t="n">
        <v>159</v>
      </c>
      <c r="L9" s="21" t="n">
        <v>156</v>
      </c>
      <c r="M9" s="21" t="n">
        <v>54</v>
      </c>
    </row>
    <row r="10" customFormat="false" ht="24" hidden="false" customHeight="true" outlineLevel="0" collapsed="false">
      <c r="A10" s="3" t="s">
        <v>21</v>
      </c>
      <c r="B10" s="19" t="n">
        <v>0.5</v>
      </c>
      <c r="C10" s="19" t="n">
        <v>0.1</v>
      </c>
      <c r="D10" s="19" t="n">
        <v>0.05</v>
      </c>
      <c r="E10" s="19" t="n">
        <v>0.12</v>
      </c>
      <c r="F10" s="19" t="n">
        <v>0.15</v>
      </c>
      <c r="G10" s="20" t="n">
        <v>0.08</v>
      </c>
      <c r="H10" s="21" t="n">
        <v>997</v>
      </c>
      <c r="I10" s="21" t="n">
        <v>213</v>
      </c>
      <c r="J10" s="21" t="n">
        <v>212</v>
      </c>
      <c r="K10" s="21" t="n">
        <v>241</v>
      </c>
      <c r="L10" s="21" t="n">
        <v>223</v>
      </c>
      <c r="M10" s="21" t="n">
        <v>107</v>
      </c>
    </row>
    <row r="11" customFormat="false" ht="24" hidden="false" customHeight="true" outlineLevel="0" collapsed="false">
      <c r="A11" s="3" t="s">
        <v>22</v>
      </c>
      <c r="B11" s="19" t="n">
        <v>0.63</v>
      </c>
      <c r="C11" s="19" t="n">
        <v>0.11</v>
      </c>
      <c r="D11" s="19" t="n">
        <v>0.14</v>
      </c>
      <c r="E11" s="19" t="n">
        <v>0.13</v>
      </c>
      <c r="F11" s="19" t="n">
        <v>0.22</v>
      </c>
      <c r="G11" s="20" t="n">
        <v>0.04</v>
      </c>
      <c r="H11" s="21" t="n">
        <v>1187</v>
      </c>
      <c r="I11" s="21" t="n">
        <v>169</v>
      </c>
      <c r="J11" s="21" t="n">
        <v>455</v>
      </c>
      <c r="K11" s="21" t="n">
        <v>226</v>
      </c>
      <c r="L11" s="21" t="n">
        <v>283</v>
      </c>
      <c r="M11" s="21" t="n">
        <v>54</v>
      </c>
    </row>
    <row r="12" customFormat="false" ht="24" hidden="false" customHeight="true" outlineLevel="0" collapsed="false">
      <c r="A12" s="3" t="s">
        <v>23</v>
      </c>
      <c r="B12" s="19" t="n">
        <v>0.81</v>
      </c>
      <c r="C12" s="19" t="n">
        <v>0.15</v>
      </c>
      <c r="D12" s="19" t="n">
        <v>0.12</v>
      </c>
      <c r="E12" s="19" t="n">
        <v>0.18</v>
      </c>
      <c r="F12" s="19" t="n">
        <v>0.28</v>
      </c>
      <c r="G12" s="20" t="n">
        <v>0.08</v>
      </c>
      <c r="H12" s="21" t="n">
        <v>1487</v>
      </c>
      <c r="I12" s="21" t="n">
        <v>259</v>
      </c>
      <c r="J12" s="21" t="n">
        <v>415</v>
      </c>
      <c r="K12" s="21" t="n">
        <v>329</v>
      </c>
      <c r="L12" s="21" t="n">
        <v>377</v>
      </c>
      <c r="M12" s="21" t="n">
        <v>108</v>
      </c>
    </row>
    <row r="13" customFormat="false" ht="24" hidden="false" customHeight="true" outlineLevel="0" collapsed="false">
      <c r="A13" s="3" t="s">
        <v>24</v>
      </c>
      <c r="B13" s="19" t="n">
        <v>0.82</v>
      </c>
      <c r="C13" s="19" t="n">
        <v>0.17</v>
      </c>
      <c r="D13" s="19" t="n">
        <v>0.05</v>
      </c>
      <c r="E13" s="19" t="n">
        <v>0.19</v>
      </c>
      <c r="F13" s="19" t="n">
        <v>0.19</v>
      </c>
      <c r="G13" s="20" t="n">
        <v>0.22</v>
      </c>
      <c r="H13" s="21" t="n">
        <v>1537</v>
      </c>
      <c r="I13" s="21" t="n">
        <v>380</v>
      </c>
      <c r="J13" s="21" t="n">
        <v>120</v>
      </c>
      <c r="K13" s="21" t="n">
        <v>406</v>
      </c>
      <c r="L13" s="21" t="n">
        <v>350</v>
      </c>
      <c r="M13" s="21" t="n">
        <v>281</v>
      </c>
    </row>
    <row r="14" customFormat="false" ht="24" hidden="false" customHeight="true" outlineLevel="0" collapsed="false">
      <c r="A14" s="3" t="s">
        <v>25</v>
      </c>
      <c r="B14" s="19" t="n">
        <v>1.18</v>
      </c>
      <c r="C14" s="19" t="n">
        <v>0.19</v>
      </c>
      <c r="D14" s="19" t="n">
        <v>0.2</v>
      </c>
      <c r="E14" s="19" t="n">
        <v>0.26</v>
      </c>
      <c r="F14" s="19" t="n">
        <v>0.45</v>
      </c>
      <c r="G14" s="20" t="n">
        <v>0.08</v>
      </c>
      <c r="H14" s="21" t="n">
        <v>2082</v>
      </c>
      <c r="I14" s="21" t="n">
        <v>301</v>
      </c>
      <c r="J14" s="21" t="n">
        <v>719</v>
      </c>
      <c r="K14" s="21" t="n">
        <v>408</v>
      </c>
      <c r="L14" s="21" t="n">
        <v>545</v>
      </c>
      <c r="M14" s="21" t="n">
        <v>109</v>
      </c>
    </row>
    <row r="15" customFormat="false" ht="24" hidden="false" customHeight="true" outlineLevel="0" collapsed="false">
      <c r="A15" s="3" t="s">
        <v>26</v>
      </c>
      <c r="B15" s="19" t="n">
        <v>1.4</v>
      </c>
      <c r="C15" s="19" t="n">
        <v>0.15</v>
      </c>
      <c r="D15" s="19" t="n">
        <v>0.31</v>
      </c>
      <c r="E15" s="19" t="n">
        <v>0.23</v>
      </c>
      <c r="F15" s="19" t="n">
        <v>0.66</v>
      </c>
      <c r="G15" s="20" t="n">
        <v>0.05</v>
      </c>
      <c r="H15" s="21" t="n">
        <v>2501</v>
      </c>
      <c r="I15" s="21" t="n">
        <v>211</v>
      </c>
      <c r="J15" s="21" t="n">
        <v>1251</v>
      </c>
      <c r="K15" s="21" t="n">
        <v>332</v>
      </c>
      <c r="L15" s="21" t="n">
        <v>648</v>
      </c>
      <c r="M15" s="21" t="n">
        <v>58</v>
      </c>
    </row>
    <row r="16" customFormat="false" ht="24" hidden="false" customHeight="true" outlineLevel="0" collapsed="false">
      <c r="A16" s="3" t="s">
        <v>27</v>
      </c>
      <c r="B16" s="19" t="n">
        <v>1.54</v>
      </c>
      <c r="C16" s="19" t="n">
        <v>0.31</v>
      </c>
      <c r="D16" s="19" t="n">
        <v>0.17</v>
      </c>
      <c r="E16" s="19" t="n">
        <v>0.36</v>
      </c>
      <c r="F16" s="19" t="n">
        <v>0.48</v>
      </c>
      <c r="G16" s="20" t="n">
        <v>0.22</v>
      </c>
      <c r="H16" s="21" t="n">
        <v>2434</v>
      </c>
      <c r="I16" s="21" t="n">
        <v>540</v>
      </c>
      <c r="J16" s="21" t="n">
        <v>405</v>
      </c>
      <c r="K16" s="21" t="n">
        <v>593</v>
      </c>
      <c r="L16" s="21" t="n">
        <v>614</v>
      </c>
      <c r="M16" s="21" t="n">
        <v>281</v>
      </c>
    </row>
    <row r="17" customFormat="false" ht="24" hidden="false" customHeight="true" outlineLevel="0" collapsed="false">
      <c r="A17" s="3" t="s">
        <v>28</v>
      </c>
      <c r="B17" s="19" t="n">
        <v>1.71</v>
      </c>
      <c r="C17" s="19" t="n">
        <v>0.38</v>
      </c>
      <c r="D17" s="19" t="n">
        <v>0</v>
      </c>
      <c r="E17" s="19" t="n">
        <v>0.41</v>
      </c>
      <c r="F17" s="19" t="n">
        <v>0.71</v>
      </c>
      <c r="G17" s="20" t="n">
        <v>0.22</v>
      </c>
      <c r="H17" s="21" t="n">
        <v>2441</v>
      </c>
      <c r="I17" s="21" t="n">
        <v>619</v>
      </c>
      <c r="J17" s="21" t="n">
        <v>0</v>
      </c>
      <c r="K17" s="21" t="n">
        <v>647</v>
      </c>
      <c r="L17" s="21" t="n">
        <v>894</v>
      </c>
      <c r="M17" s="21" t="n">
        <v>281</v>
      </c>
    </row>
    <row r="18" customFormat="false" ht="24" hidden="false" customHeight="true" outlineLevel="0" collapsed="false">
      <c r="A18" s="3" t="s">
        <v>29</v>
      </c>
      <c r="B18" s="19" t="n">
        <v>1.72</v>
      </c>
      <c r="C18" s="19" t="n">
        <v>0.35</v>
      </c>
      <c r="D18" s="19" t="n">
        <v>0.24</v>
      </c>
      <c r="E18" s="19" t="n">
        <v>0.41</v>
      </c>
      <c r="F18" s="19" t="n">
        <v>0.5</v>
      </c>
      <c r="G18" s="20" t="n">
        <v>0.22</v>
      </c>
      <c r="H18" s="21" t="n">
        <v>2917</v>
      </c>
      <c r="I18" s="21" t="n">
        <v>608</v>
      </c>
      <c r="J18" s="21" t="n">
        <v>701</v>
      </c>
      <c r="K18" s="21" t="n">
        <v>670</v>
      </c>
      <c r="L18" s="21" t="n">
        <v>656</v>
      </c>
      <c r="M18" s="21" t="n">
        <v>281</v>
      </c>
    </row>
    <row r="19" customFormat="false" ht="24" hidden="false" customHeight="true" outlineLevel="0" collapsed="false">
      <c r="A19" s="3" t="s">
        <v>30</v>
      </c>
      <c r="B19" s="19" t="n">
        <v>1.99</v>
      </c>
      <c r="C19" s="19" t="n">
        <v>0.24</v>
      </c>
      <c r="D19" s="19" t="n">
        <v>0.35</v>
      </c>
      <c r="E19" s="19" t="n">
        <v>0.33</v>
      </c>
      <c r="F19" s="19" t="n">
        <v>0.99</v>
      </c>
      <c r="G19" s="20" t="n">
        <v>0.09</v>
      </c>
      <c r="H19" s="21" t="n">
        <v>3465</v>
      </c>
      <c r="I19" s="21" t="n">
        <v>348</v>
      </c>
      <c r="J19" s="21" t="n">
        <v>1452</v>
      </c>
      <c r="K19" s="21" t="n">
        <v>513</v>
      </c>
      <c r="L19" s="21" t="n">
        <v>1039</v>
      </c>
      <c r="M19" s="21" t="n">
        <v>113</v>
      </c>
    </row>
    <row r="20" customFormat="false" ht="24" hidden="false" customHeight="true" outlineLevel="0" collapsed="false">
      <c r="A20" s="3" t="s">
        <v>31</v>
      </c>
      <c r="B20" s="19" t="n">
        <v>2.31</v>
      </c>
      <c r="C20" s="19" t="n">
        <v>0.42</v>
      </c>
      <c r="D20" s="19" t="n">
        <v>0.43</v>
      </c>
      <c r="E20" s="19" t="n">
        <v>0.52</v>
      </c>
      <c r="F20" s="19" t="n">
        <v>0.72</v>
      </c>
      <c r="G20" s="20" t="n">
        <v>0.22</v>
      </c>
      <c r="H20" s="21" t="n">
        <v>3803</v>
      </c>
      <c r="I20" s="21" t="n">
        <v>670</v>
      </c>
      <c r="J20" s="21" t="n">
        <v>1225</v>
      </c>
      <c r="K20" s="21" t="n">
        <v>783</v>
      </c>
      <c r="L20" s="21" t="n">
        <v>844</v>
      </c>
      <c r="M20" s="21" t="n">
        <v>281</v>
      </c>
    </row>
    <row r="21" customFormat="false" ht="24" hidden="false" customHeight="true" outlineLevel="0" collapsed="false">
      <c r="A21" s="3" t="s">
        <v>32</v>
      </c>
      <c r="B21" s="19" t="n">
        <v>3.26</v>
      </c>
      <c r="C21" s="19" t="n">
        <v>0.53</v>
      </c>
      <c r="D21" s="19" t="n">
        <v>0.83</v>
      </c>
      <c r="E21" s="19" t="n">
        <v>0.7</v>
      </c>
      <c r="F21" s="19" t="n">
        <v>0.98</v>
      </c>
      <c r="G21" s="20" t="n">
        <v>0.22</v>
      </c>
      <c r="H21" s="21" t="n">
        <v>5324</v>
      </c>
      <c r="I21" s="21" t="n">
        <v>778</v>
      </c>
      <c r="J21" s="21" t="n">
        <v>2222</v>
      </c>
      <c r="K21" s="21" t="n">
        <v>978</v>
      </c>
      <c r="L21" s="21" t="n">
        <v>1066</v>
      </c>
      <c r="M21" s="21" t="n">
        <v>279</v>
      </c>
    </row>
    <row r="22" customFormat="false" ht="24" hidden="false" customHeight="true" outlineLevel="0" collapsed="false">
      <c r="A22" s="3" t="s">
        <v>33</v>
      </c>
      <c r="B22" s="19"/>
      <c r="C22" s="19"/>
      <c r="D22" s="19"/>
      <c r="E22" s="19"/>
      <c r="F22" s="19"/>
      <c r="G22" s="20"/>
      <c r="H22" s="21"/>
      <c r="I22" s="21"/>
      <c r="J22" s="21"/>
      <c r="K22" s="21"/>
      <c r="L22" s="21"/>
      <c r="M22" s="21"/>
    </row>
    <row r="23" customFormat="false" ht="24" hidden="false" customHeight="true" outlineLevel="0" collapsed="false">
      <c r="A23" s="3" t="s">
        <v>35</v>
      </c>
      <c r="B23" s="19"/>
      <c r="C23" s="19"/>
      <c r="D23" s="19"/>
      <c r="E23" s="19"/>
      <c r="F23" s="19"/>
      <c r="G23" s="20"/>
      <c r="H23" s="21"/>
      <c r="I23" s="21"/>
      <c r="J23" s="21"/>
      <c r="K23" s="21"/>
      <c r="L23" s="21"/>
      <c r="M23" s="21"/>
    </row>
    <row r="24" customFormat="false" ht="24" hidden="false" customHeight="true" outlineLevel="0" collapsed="false">
      <c r="A24" s="3" t="s">
        <v>36</v>
      </c>
      <c r="B24" s="19"/>
      <c r="C24" s="19"/>
      <c r="D24" s="19"/>
      <c r="E24" s="19"/>
      <c r="F24" s="19"/>
      <c r="G24" s="20"/>
      <c r="H24" s="21"/>
      <c r="I24" s="21"/>
      <c r="J24" s="21"/>
      <c r="K24" s="21"/>
      <c r="L24" s="21"/>
      <c r="M24" s="21"/>
    </row>
    <row r="25" customFormat="false" ht="24" hidden="false" customHeight="true" outlineLevel="0" collapsed="false">
      <c r="A25" s="3" t="s">
        <v>37</v>
      </c>
      <c r="B25" s="19"/>
      <c r="C25" s="19"/>
      <c r="D25" s="19"/>
      <c r="E25" s="19"/>
      <c r="F25" s="19"/>
      <c r="G25" s="20"/>
      <c r="H25" s="21"/>
      <c r="I25" s="21"/>
      <c r="J25" s="21"/>
      <c r="K25" s="21"/>
      <c r="L25" s="21"/>
      <c r="M25" s="21"/>
    </row>
    <row r="26" customFormat="false" ht="15" hidden="false" customHeight="true" outlineLevel="0" collapsed="false">
      <c r="A26" s="3" t="s">
        <v>38</v>
      </c>
      <c r="B26" s="19"/>
      <c r="C26" s="19"/>
      <c r="D26" s="19"/>
      <c r="E26" s="19"/>
      <c r="F26" s="19"/>
      <c r="G26" s="20"/>
      <c r="H26" s="21"/>
      <c r="I26" s="21"/>
      <c r="J26" s="21"/>
      <c r="K26" s="21"/>
      <c r="L26" s="21"/>
      <c r="M26" s="21"/>
    </row>
    <row r="27" customFormat="false" ht="15" hidden="false" customHeight="true" outlineLevel="0" collapsed="false">
      <c r="A27" s="3" t="s">
        <v>39</v>
      </c>
      <c r="B27" s="19"/>
      <c r="C27" s="19"/>
      <c r="D27" s="19"/>
      <c r="E27" s="19"/>
      <c r="F27" s="19"/>
      <c r="G27" s="20"/>
      <c r="H27" s="21"/>
      <c r="I27" s="21"/>
      <c r="J27" s="21"/>
      <c r="K27" s="21"/>
      <c r="L27" s="21"/>
      <c r="M27" s="2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29"/>
    <col collapsed="false" customWidth="true" hidden="false" outlineLevel="0" max="4" min="2" style="1" width="17"/>
  </cols>
  <sheetData>
    <row r="1" customFormat="false" ht="30" hidden="false" customHeight="true" outlineLevel="0" collapsed="false">
      <c r="A1" s="2" t="s">
        <v>62</v>
      </c>
      <c r="B1" s="3"/>
      <c r="C1" s="3"/>
      <c r="D1" s="3"/>
    </row>
    <row r="2" customFormat="false" ht="15" hidden="false" customHeight="true" outlineLevel="0" collapsed="false">
      <c r="A2" s="4" t="s">
        <v>63</v>
      </c>
      <c r="B2" s="3"/>
      <c r="C2" s="3"/>
      <c r="D2" s="3"/>
    </row>
    <row r="3" customFormat="false" ht="15" hidden="false" customHeight="true" outlineLevel="0" collapsed="false">
      <c r="A3" s="3"/>
      <c r="B3" s="3"/>
      <c r="C3" s="3"/>
      <c r="D3" s="3"/>
    </row>
    <row r="4" customFormat="false" ht="15" hidden="false" customHeight="true" outlineLevel="0" collapsed="false">
      <c r="A4" s="3"/>
      <c r="B4" s="3"/>
      <c r="C4" s="3"/>
      <c r="D4" s="3"/>
    </row>
    <row r="5" customFormat="false" ht="43.5" hidden="false" customHeight="true" outlineLevel="0" collapsed="false">
      <c r="A5" s="5" t="s">
        <v>64</v>
      </c>
      <c r="B5" s="5" t="s">
        <v>65</v>
      </c>
      <c r="C5" s="5" t="s">
        <v>66</v>
      </c>
      <c r="D5" s="5" t="s">
        <v>67</v>
      </c>
    </row>
    <row r="6" customFormat="false" ht="24" hidden="false" customHeight="true" outlineLevel="0" collapsed="false">
      <c r="A6" s="3" t="s">
        <v>68</v>
      </c>
      <c r="B6" s="19" t="n">
        <v>0.2</v>
      </c>
      <c r="C6" s="19" t="n">
        <v>0.02</v>
      </c>
      <c r="D6" s="19" t="n">
        <v>1.2</v>
      </c>
    </row>
    <row r="7" customFormat="false" ht="24" hidden="false" customHeight="true" outlineLevel="0" collapsed="false">
      <c r="A7" s="3" t="s">
        <v>69</v>
      </c>
      <c r="B7" s="19" t="n">
        <v>2</v>
      </c>
      <c r="C7" s="19" t="n">
        <v>0.2</v>
      </c>
      <c r="D7" s="19" t="n">
        <v>12</v>
      </c>
    </row>
    <row r="8" customFormat="false" ht="24" hidden="false" customHeight="true" outlineLevel="0" collapsed="false">
      <c r="A8" s="3" t="s">
        <v>70</v>
      </c>
      <c r="B8" s="19" t="n">
        <v>4</v>
      </c>
      <c r="C8" s="19" t="n">
        <v>0.4</v>
      </c>
      <c r="D8" s="19" t="n">
        <v>20</v>
      </c>
    </row>
    <row r="9" customFormat="false" ht="24" hidden="false" customHeight="true" outlineLevel="0" collapsed="false">
      <c r="A9" s="3" t="s">
        <v>71</v>
      </c>
      <c r="B9" s="19" t="n">
        <v>10</v>
      </c>
      <c r="C9" s="19" t="n">
        <v>1</v>
      </c>
      <c r="D9" s="19" t="n">
        <v>50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29"/>
    <col collapsed="false" customWidth="true" hidden="false" outlineLevel="0" max="2" min="2" style="1" width="115"/>
  </cols>
  <sheetData>
    <row r="1" customFormat="false" ht="30" hidden="false" customHeight="true" outlineLevel="0" collapsed="false">
      <c r="A1" s="2" t="s">
        <v>72</v>
      </c>
      <c r="B1" s="3"/>
    </row>
    <row r="2" customFormat="false" ht="15" hidden="false" customHeight="true" outlineLevel="0" collapsed="false">
      <c r="A2" s="4" t="s">
        <v>73</v>
      </c>
      <c r="B2" s="3"/>
    </row>
    <row r="3" customFormat="false" ht="15" hidden="false" customHeight="true" outlineLevel="0" collapsed="false">
      <c r="A3" s="3"/>
      <c r="B3" s="3"/>
    </row>
    <row r="4" customFormat="false" ht="15" hidden="false" customHeight="true" outlineLevel="0" collapsed="false">
      <c r="A4" s="3"/>
      <c r="B4" s="3"/>
    </row>
    <row r="5" customFormat="false" ht="43.5" hidden="false" customHeight="true" outlineLevel="0" collapsed="false">
      <c r="A5" s="5" t="s">
        <v>74</v>
      </c>
      <c r="B5" s="5" t="s">
        <v>75</v>
      </c>
    </row>
    <row r="6" customFormat="false" ht="48" hidden="false" customHeight="true" outlineLevel="0" collapsed="false">
      <c r="A6" s="3" t="s">
        <v>76</v>
      </c>
      <c r="B6" s="22" t="s">
        <v>77</v>
      </c>
    </row>
    <row r="7" customFormat="false" ht="48" hidden="false" customHeight="true" outlineLevel="0" collapsed="false">
      <c r="A7" s="3" t="s">
        <v>78</v>
      </c>
      <c r="B7" s="22" t="s">
        <v>79</v>
      </c>
    </row>
    <row r="8" customFormat="false" ht="48" hidden="false" customHeight="true" outlineLevel="0" collapsed="false">
      <c r="A8" s="3" t="s">
        <v>80</v>
      </c>
      <c r="B8" s="22" t="s">
        <v>81</v>
      </c>
    </row>
    <row r="9" customFormat="false" ht="48" hidden="false" customHeight="true" outlineLevel="0" collapsed="false">
      <c r="A9" s="3" t="s">
        <v>3</v>
      </c>
      <c r="B9" s="22" t="s">
        <v>82</v>
      </c>
    </row>
    <row r="10" customFormat="false" ht="48" hidden="false" customHeight="true" outlineLevel="0" collapsed="false">
      <c r="A10" s="3" t="s">
        <v>83</v>
      </c>
      <c r="B10" s="22" t="s">
        <v>84</v>
      </c>
    </row>
    <row r="11" customFormat="false" ht="48" hidden="false" customHeight="true" outlineLevel="0" collapsed="false">
      <c r="A11" s="3" t="s">
        <v>85</v>
      </c>
      <c r="B11" s="22" t="s">
        <v>86</v>
      </c>
    </row>
    <row r="12" customFormat="false" ht="48" hidden="false" customHeight="true" outlineLevel="0" collapsed="false">
      <c r="A12" s="3" t="s">
        <v>87</v>
      </c>
      <c r="B12" s="22" t="s">
        <v>88</v>
      </c>
    </row>
    <row r="13" customFormat="false" ht="48" hidden="false" customHeight="true" outlineLevel="0" collapsed="false">
      <c r="A13" s="3" t="s">
        <v>89</v>
      </c>
      <c r="B13" s="22" t="s">
        <v>90</v>
      </c>
    </row>
    <row r="14" customFormat="false" ht="48" hidden="false" customHeight="true" outlineLevel="0" collapsed="false">
      <c r="A14" s="3" t="s">
        <v>91</v>
      </c>
      <c r="B14" s="22" t="s">
        <v>92</v>
      </c>
    </row>
    <row r="15" customFormat="false" ht="48" hidden="false" customHeight="true" outlineLevel="0" collapsed="false">
      <c r="A15" s="3" t="s">
        <v>93</v>
      </c>
      <c r="B15" s="22" t="s">
        <v>94</v>
      </c>
    </row>
    <row r="16" customFormat="false" ht="48" hidden="false" customHeight="true" outlineLevel="0" collapsed="false">
      <c r="A16" s="3" t="s">
        <v>95</v>
      </c>
      <c r="B16" s="22" t="s">
        <v>96</v>
      </c>
    </row>
    <row r="17" customFormat="false" ht="48" hidden="false" customHeight="true" outlineLevel="0" collapsed="false">
      <c r="A17" s="3" t="s">
        <v>97</v>
      </c>
      <c r="B17" s="22" t="s">
        <v>98</v>
      </c>
    </row>
    <row r="18" customFormat="false" ht="48" hidden="false" customHeight="true" outlineLevel="0" collapsed="false">
      <c r="A18" s="3" t="s">
        <v>99</v>
      </c>
      <c r="B18" s="22" t="s">
        <v>100</v>
      </c>
    </row>
    <row r="19" customFormat="false" ht="48" hidden="false" customHeight="true" outlineLevel="0" collapsed="false">
      <c r="A19" s="3" t="s">
        <v>5</v>
      </c>
      <c r="B19" s="22" t="s">
        <v>101</v>
      </c>
    </row>
    <row r="20" customFormat="false" ht="48" hidden="false" customHeight="true" outlineLevel="0" collapsed="false">
      <c r="A20" s="3" t="s">
        <v>102</v>
      </c>
      <c r="B20" s="22" t="s">
        <v>103</v>
      </c>
    </row>
    <row r="21" customFormat="false" ht="48" hidden="false" customHeight="true" outlineLevel="0" collapsed="false">
      <c r="A21" s="3" t="s">
        <v>104</v>
      </c>
      <c r="B21" s="22" t="s">
        <v>105</v>
      </c>
    </row>
    <row r="22" customFormat="false" ht="48" hidden="false" customHeight="true" outlineLevel="0" collapsed="false">
      <c r="A22" s="3" t="s">
        <v>106</v>
      </c>
      <c r="B22" s="22" t="s">
        <v>107</v>
      </c>
    </row>
    <row r="23" customFormat="false" ht="48" hidden="false" customHeight="true" outlineLevel="0" collapsed="false">
      <c r="A23" s="3" t="s">
        <v>108</v>
      </c>
      <c r="B23" s="22" t="s">
        <v>109</v>
      </c>
    </row>
    <row r="24" customFormat="false" ht="84.75" hidden="false" customHeight="true" outlineLevel="0" collapsed="false">
      <c r="A24" s="3" t="s">
        <v>110</v>
      </c>
      <c r="B24" s="22" t="s">
        <v>111</v>
      </c>
    </row>
    <row r="25" customFormat="false" ht="84.75" hidden="false" customHeight="true" outlineLevel="0" collapsed="false">
      <c r="A25" s="3" t="s">
        <v>112</v>
      </c>
      <c r="B25" s="22" t="s">
        <v>113</v>
      </c>
    </row>
    <row r="26" customFormat="false" ht="84.75" hidden="false" customHeight="true" outlineLevel="0" collapsed="false">
      <c r="A26" s="3" t="s">
        <v>114</v>
      </c>
      <c r="B26" s="22" t="s">
        <v>115</v>
      </c>
    </row>
    <row r="27" customFormat="false" ht="84.75" hidden="false" customHeight="true" outlineLevel="0" collapsed="false">
      <c r="A27" s="3" t="s">
        <v>116</v>
      </c>
      <c r="B27" s="22" t="s">
        <v>117</v>
      </c>
    </row>
    <row r="28" customFormat="false" ht="84.75" hidden="false" customHeight="true" outlineLevel="0" collapsed="false">
      <c r="A28" s="3" t="s">
        <v>118</v>
      </c>
      <c r="B28" s="22" t="s">
        <v>119</v>
      </c>
    </row>
    <row r="29" customFormat="false" ht="84.75" hidden="false" customHeight="true" outlineLevel="0" collapsed="false">
      <c r="A29" s="3" t="s">
        <v>120</v>
      </c>
      <c r="B29" s="22" t="s">
        <v>121</v>
      </c>
    </row>
    <row r="30" customFormat="false" ht="34.5" hidden="false" customHeight="true" outlineLevel="0" collapsed="false">
      <c r="A30" s="3" t="s">
        <v>122</v>
      </c>
      <c r="B30" s="22" t="s">
        <v>123</v>
      </c>
    </row>
    <row r="31" customFormat="false" ht="57" hidden="false" customHeight="true" outlineLevel="0" collapsed="false">
      <c r="A31" s="3" t="s">
        <v>124</v>
      </c>
      <c r="B31" s="22" t="s">
        <v>125</v>
      </c>
    </row>
    <row r="32" customFormat="false" ht="23.85" hidden="false" customHeight="false" outlineLevel="0" collapsed="false">
      <c r="A32" s="3" t="s">
        <v>13</v>
      </c>
      <c r="B32" s="22" t="s">
        <v>126</v>
      </c>
    </row>
    <row r="33" customFormat="false" ht="23.85" hidden="false" customHeight="false" outlineLevel="0" collapsed="false">
      <c r="A33" s="3" t="s">
        <v>127</v>
      </c>
      <c r="B33" s="22" t="s">
        <v>128</v>
      </c>
    </row>
    <row r="34" customFormat="false" ht="23.85" hidden="false" customHeight="false" outlineLevel="0" collapsed="false">
      <c r="A34" s="3" t="s">
        <v>129</v>
      </c>
      <c r="B34" s="22" t="s">
        <v>130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2026-09-08T16:53:31Z</dcterms:created>
  <dc:creator>openpyxl</dc:creator>
  <dc:description/>
  <dc:language>en-US</dc:language>
  <cp:lastModifiedBy/>
  <dcterms:modified xsi:type="dcterms:W3CDTF">2026-09-08T17:00:07Z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