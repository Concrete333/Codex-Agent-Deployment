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81d34ec4a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32f21404ed8844f2"/>
    <x:sheet xmlns:r="http://schemas.openxmlformats.org/officeDocument/2006/relationships" name="Token detail" sheetId="2" r:id="Re1bc099dde354ed6"/>
    <x:sheet xmlns:r="http://schemas.openxmlformats.org/officeDocument/2006/relationships" name="Cost detail" sheetId="3" r:id="R05c972e66fdb4745"/>
    <x:sheet xmlns:r="http://schemas.openxmlformats.org/officeDocument/2006/relationships" name="Pricing" sheetId="4" r:id="R5a7764891cf74e87"/>
    <x:sheet xmlns:r="http://schemas.openxmlformats.org/officeDocument/2006/relationships" name="Notes" sheetId="5" r:id="Rafa08da6c5a4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#,##0.0"/>
    <x:numFmt numFmtId="202" formatCode="#,##0"/>
    <x:numFmt numFmtId="203" formatCode="$0.00"/>
    <x:numFmt numFmtId="204" formatCode="$0.0000"/>
    <x:numFmt numFmtId="205" formatCode="$#,##0"/>
    <x:numFmt numFmtId="206" formatCode="0.00"/>
    <x:numFmt numFmtId="207" formatCode="0.0%"/>
  </x:numFmts>
  <x:fonts count="6">
    <x:font>
      <x:sz val="11"/>
      <x:name val="Carlito"/>
    </x:font>
    <x:font>
      <x:sz val="10"/>
      <x:name val="Arial"/>
    </x:font>
    <x:font>
      <x:b/>
      <x:sz val="18"/>
      <x:color rgb="FF17354A"/>
      <x:name val="Arial"/>
    </x:font>
    <x:font>
      <x:sz val="10"/>
      <x:color rgb="FF526776"/>
      <x:name val="Arial"/>
    </x:font>
    <x:font>
      <x:b/>
      <x:sz val="10"/>
      <x:color rgb="FFFFFFFF"/>
      <x:name val="Arial"/>
    </x:font>
    <x:font>
      <x:sz val="10"/>
      <x:color rgb="FF17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54A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3abb5e8b6443c2" /><Relationship Type="http://schemas.openxmlformats.org/officeDocument/2006/relationships/theme" Target="/xl/theme/theme1.xml" Id="R44a89a65b3d5406c" /><Relationship Type="http://schemas.openxmlformats.org/officeDocument/2006/relationships/sharedStrings" Target="/xl/sharedStrings.xml" Id="R8586e3d56658425f" /><Relationship Type="http://schemas.openxmlformats.org/officeDocument/2006/relationships/worksheet" Target="/xl/worksheets/sheet1.xml" Id="R32f21404ed8844f2" /><Relationship Type="http://schemas.openxmlformats.org/officeDocument/2006/relationships/worksheet" Target="/xl/worksheets/sheet2.xml" Id="Re1bc099dde354ed6" /><Relationship Type="http://schemas.openxmlformats.org/officeDocument/2006/relationships/worksheet" Target="/xl/worksheets/sheet3.xml" Id="R05c972e66fdb4745" /><Relationship Type="http://schemas.openxmlformats.org/officeDocument/2006/relationships/worksheet" Target="/xl/worksheets/sheet4.xml" Id="R5a7764891cf74e87" /><Relationship Type="http://schemas.openxmlformats.org/officeDocument/2006/relationships/worksheet" Target="/xl/worksheets/sheet5.xml" Id="Rafa08da6c5a44b31" /></Relationships>
</file>

<file path=xl/tables/table1.xml><?xml version="1.0" encoding="utf-8"?>
<x:table xmlns:x="http://schemas.openxmlformats.org/spreadsheetml/2006/main" id="3" name="ComparisonTable" displayName="ComparisonTable" ref="A5:K25" headerRowCount="1" totalsRowCount="0" totalsRowShown="0">
  <x:tableColumns count="11">
    <x:tableColumn id="1" name="Model / effort"/>
    <x:tableColumn id="2" name="Intelligence"/>
    <x:tableColumn id="3" name="Score status"/>
    <x:tableColumn id="4" name="Accuracy"/>
    <x:tableColumn id="5" name="USD / task"/>
    <x:tableColumn id="6" name="Output tokens / task"/>
    <x:tableColumn id="7" name="Points / $"/>
    <x:tableColumn id="8" name="Cost-efficiency rank"/>
    <x:tableColumn id="9" name="Points / 1k tokens"/>
    <x:tableColumn id="10" name="Token-efficiency rank"/>
    <x:tableColumn id="11" name="Reasoning sh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okendetailTable" displayName="TokendetailTable" ref="A5:J25" headerRowCount="1" totalsRowCount="0" totalsRowShown="0">
  <x:tableColumns count="10">
    <x:tableColumn id="1" name="Model / effort"/>
    <x:tableColumn id="2" name="Intelligence"/>
    <x:tableColumn id="3" name="Score status"/>
    <x:tableColumn id="4" name="Omniscience accuracy"/>
    <x:tableColumn id="5" name="Output tokens / task"/>
    <x:tableColumn id="6" name="Answer tokens / task"/>
    <x:tableColumn id="7" name="Reasoning tokens / task"/>
    <x:tableColumn id="8" name="Total output tokens"/>
    <x:tableColumn id="9" name="Total answer tokens"/>
    <x:tableColumn id="10" name="Total reasoning toke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stdetailTable" displayName="CostdetailTable" ref="A5:M25" headerRowCount="1" totalsRowCount="0" totalsRowShown="0">
  <x:tableColumns count="13">
    <x:tableColumn id="1" name="Model / effort"/>
    <x:tableColumn id="2" name="Total cost / task"/>
    <x:tableColumn id="3" name="Answer / task"/>
    <x:tableColumn id="4" name="Reasoning / task"/>
    <x:tableColumn id="5" name="Cache write / task"/>
    <x:tableColumn id="6" name="Cache hit / task"/>
    <x:tableColumn id="7" name="Input / task"/>
    <x:tableColumn id="8" name="Total run cost"/>
    <x:tableColumn id="9" name="Total answer cost"/>
    <x:tableColumn id="10" name="Total reasoning cost"/>
    <x:tableColumn id="11" name="Total cache write"/>
    <x:tableColumn id="12" name="Total cache read"/>
    <x:tableColumn id="13" name="Total input 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cingTable" displayName="PricingTable" ref="A5:D9" headerRowCount="1" totalsRowCount="0" totalsRowShown="0">
  <x:tableColumns count="4">
    <x:tableColumn id="1" name="Model family"/>
    <x:tableColumn id="2" name="Input / 1M"/>
    <x:tableColumn id="3" name="Cached input / 1M"/>
    <x:tableColumn id="4" name="Output / 1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tesTable" displayName="NotesTable" ref="A5:B29" headerRowCount="1" totalsRowCount="0" totalsRowShown="0">
  <x:tableColumns count="2">
    <x:tableColumn id="1" name="Topic"/>
    <x:tableColumn id="2" name="Definition /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19ec6dcc1547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c25f93ccfa43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dd0df90c9041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a2a4b2a0644f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2c50e98ffd5466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0" customHeight="1">
      <x:c r="A1" s="2" t="str">
        <x:v>GPT model efficiency · Artificial Analysis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Captured 8 Sep 2026 • sorted by cost/task ascending; missing results last • ratios are proxies, not task success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4" customHeight="1">
      <x:c r="A5" s="6" t="str">
        <x:v>Model / effort</x:v>
      </x:c>
      <x:c r="B5" s="6" t="str">
        <x:v>Intelligence</x:v>
      </x:c>
      <x:c r="C5" s="6" t="str">
        <x:v>Score status</x:v>
      </x:c>
      <x:c r="D5" s="6" t="str">
        <x:v>Accuracy</x:v>
      </x:c>
      <x:c r="E5" s="6" t="str">
        <x:v>USD / task</x:v>
      </x:c>
      <x:c r="F5" s="6" t="str">
        <x:v>Output tokens / task</x:v>
      </x:c>
      <x:c r="G5" s="6" t="str">
        <x:v>Points / $</x:v>
      </x:c>
      <x:c r="H5" s="6" t="str">
        <x:v>Cost-efficiency rank</x:v>
      </x:c>
      <x:c r="I5" s="6" t="str">
        <x:v>Points / 1k tokens</x:v>
      </x:c>
      <x:c r="J5" s="6" t="str">
        <x:v>Token-efficiency rank</x:v>
      </x:c>
      <x:c r="K5" s="6" t="str">
        <x:v>Reasoning share</x:v>
      </x:c>
    </x:row>
    <x:row r="6" ht="24" customHeight="1">
      <x:c r="A6" s="1" t="str">
        <x:v>GPT-5.6 Luna (xhigh)</x:v>
      </x:c>
      <x:c r="B6" s="15" t="n">
        <x:f>'Token detail'!B6</x:f>
        <x:v>35</x:v>
      </x:c>
      <x:c r="C6" s="15" t="str">
        <x:v>Evaluated</x:v>
      </x:c>
      <x:c r="D6" s="16" t="n">
        <x:f>'Token detail'!D6</x:f>
        <x:v>0.4245</x:v>
      </x:c>
      <x:c r="E6" s="17" t="n">
        <x:f>IF(C6="Estimated","",'Cost detail'!B6)</x:f>
        <x:v>0.09</x:v>
      </x:c>
      <x:c r="F6" s="18" t="n">
        <x:f>IF(C6="Estimated","",'Token detail'!E6)</x:f>
        <x:v>23624.5</x:v>
      </x:c>
      <x:c r="G6" s="19" t="n">
        <x:f>IF(C6="Estimated","",B6/E6)</x:f>
        <x:v>388.8888888888889</x:v>
      </x:c>
      <x:c r="H6" s="15" t="n">
        <x:f>IF(C6="Estimated","",1+COUNTIF($G$6:$G$25,"&gt;"&amp;G6))</x:f>
        <x:v>1</x:v>
      </x:c>
      <x:c r="I6" s="19" t="n">
        <x:f>IF(C6="Estimated","",B6/F6*1000)</x:f>
        <x:v>1.4815128362505026</x:v>
      </x:c>
      <x:c r="J6" s="15" t="n">
        <x:f>IF(C6="Estimated","",1+COUNTIF($I$6:$I$25,"&gt;"&amp;I6))</x:f>
        <x:v>13</x:v>
      </x:c>
      <x:c r="K6" s="20" t="n">
        <x:f>IF(C6="Estimated","",'Token detail'!G6/F6)</x:f>
        <x:v>0.6232174225909544</x:v>
      </x:c>
    </x:row>
    <x:row r="7" ht="24" customHeight="1">
      <x:c r="A7" s="1" t="str">
        <x:v>GPT-5.6 Luna (max)</x:v>
      </x:c>
      <x:c r="B7" s="15" t="n">
        <x:f>'Token detail'!B7</x:f>
        <x:v>38</x:v>
      </x:c>
      <x:c r="C7" s="15" t="str">
        <x:v>Evaluated</x:v>
      </x:c>
      <x:c r="D7" s="16" t="n">
        <x:f>'Token detail'!D7</x:f>
        <x:v>0.4273</x:v>
      </x:c>
      <x:c r="E7" s="17" t="n">
        <x:f>IF(C7="Estimated","",'Cost detail'!B7)</x:f>
        <x:v>0.18</x:v>
      </x:c>
      <x:c r="F7" s="18" t="n">
        <x:f>IF(C7="Estimated","",'Token detail'!E7)</x:f>
        <x:v>41234.6</x:v>
      </x:c>
      <x:c r="G7" s="19" t="n">
        <x:f>IF(C7="Estimated","",B7/E7)</x:f>
        <x:v>211.11111111111111</x:v>
      </x:c>
      <x:c r="H7" s="15" t="n">
        <x:f>IF(C7="Estimated","",1+COUNTIF($G$6:$G$25,"&gt;"&amp;G7))</x:f>
        <x:v>2</x:v>
      </x:c>
      <x:c r="I7" s="19" t="n">
        <x:f>IF(C7="Estimated","",B7/F7*1000)</x:f>
        <x:v>0.9215561688484913</x:v>
      </x:c>
      <x:c r="J7" s="15" t="n">
        <x:f>IF(C7="Estimated","",1+COUNTIF($I$6:$I$25,"&gt;"&amp;I7))</x:f>
        <x:v>15</x:v>
      </x:c>
      <x:c r="K7" s="20" t="n">
        <x:f>IF(C7="Estimated","",'Token detail'!G7/F7)</x:f>
        <x:v>0.6814253078725149</x:v>
      </x:c>
    </x:row>
    <x:row r="8" ht="24" customHeight="1">
      <x:c r="A8" s="1" t="str">
        <x:v>GPT-5.6 Sol (low)</x:v>
      </x:c>
      <x:c r="B8" s="15" t="n">
        <x:f>'Token detail'!B8</x:f>
        <x:v>34</x:v>
      </x:c>
      <x:c r="C8" s="15" t="str">
        <x:v>Evaluated</x:v>
      </x:c>
      <x:c r="D8" s="16" t="n">
        <x:f>'Token detail'!D8</x:f>
        <x:v>0.5717</x:v>
      </x:c>
      <x:c r="E8" s="17" t="n">
        <x:f>IF(C8="Estimated","",'Cost detail'!B8)</x:f>
        <x:v>0.26</x:v>
      </x:c>
      <x:c r="F8" s="18" t="n">
        <x:f>IF(C8="Estimated","",'Token detail'!E8)</x:f>
        <x:v>3974.4</x:v>
      </x:c>
      <x:c r="G8" s="19" t="n">
        <x:f>IF(C8="Estimated","",B8/E8)</x:f>
        <x:v>130.76923076923077</x:v>
      </x:c>
      <x:c r="H8" s="15" t="n">
        <x:f>IF(C8="Estimated","",1+COUNTIF($G$6:$G$25,"&gt;"&amp;G8))</x:f>
        <x:v>3</x:v>
      </x:c>
      <x:c r="I8" s="19" t="n">
        <x:f>IF(C8="Estimated","",B8/F8*1000)</x:f>
        <x:v>8.55475040257649</x:v>
      </x:c>
      <x:c r="J8" s="15" t="n">
        <x:f>IF(C8="Estimated","",1+COUNTIF($I$6:$I$25,"&gt;"&amp;I8))</x:f>
        <x:v>2</x:v>
      </x:c>
      <x:c r="K8" s="20" t="n">
        <x:f>IF(C8="Estimated","",'Token detail'!G8/F8)</x:f>
        <x:v>0.21064814814814817</x:v>
      </x:c>
    </x:row>
    <x:row r="9" ht="24" customHeight="1">
      <x:c r="A9" s="1" t="str">
        <x:v>GPT-5.6 Terra (high)</x:v>
      </x:c>
      <x:c r="B9" s="15" t="n">
        <x:f>'Token detail'!B9</x:f>
        <x:v>34</x:v>
      </x:c>
      <x:c r="C9" s="15" t="str">
        <x:v>Evaluated</x:v>
      </x:c>
      <x:c r="D9" s="16" t="n">
        <x:f>'Token detail'!D9</x:f>
        <x:v>0.4548</x:v>
      </x:c>
      <x:c r="E9" s="17" t="n">
        <x:f>IF(C9="Estimated","",'Cost detail'!B9)</x:f>
        <x:v>0.34</x:v>
      </x:c>
      <x:c r="F9" s="18" t="n">
        <x:f>IF(C9="Estimated","",'Token detail'!E9)</x:f>
        <x:v>11293.7</x:v>
      </x:c>
      <x:c r="G9" s="19" t="n">
        <x:f>IF(C9="Estimated","",B9/E9)</x:f>
        <x:v>99.99999999999999</x:v>
      </x:c>
      <x:c r="H9" s="15" t="n">
        <x:f>IF(C9="Estimated","",1+COUNTIF($G$6:$G$25,"&gt;"&amp;G9))</x:f>
        <x:v>4</x:v>
      </x:c>
      <x:c r="I9" s="19" t="n">
        <x:f>IF(C9="Estimated","",B9/F9*1000)</x:f>
        <x:v>3.010527993483092</x:v>
      </x:c>
      <x:c r="J9" s="15" t="n">
        <x:f>IF(C9="Estimated","",1+COUNTIF($I$6:$I$25,"&gt;"&amp;I9))</x:f>
        <x:v>8</x:v>
      </x:c>
      <x:c r="K9" s="20" t="n">
        <x:f>IF(C9="Estimated","",'Token detail'!G9/F9)</x:f>
        <x:v>0.4818084418746734</x:v>
      </x:c>
    </x:row>
    <x:row r="10" ht="24" customHeight="1">
      <x:c r="A10" s="1" t="str">
        <x:v>GPT-5.6 Sol (medium)</x:v>
      </x:c>
      <x:c r="B10" s="15" t="n">
        <x:f>'Token detail'!B10</x:f>
        <x:v>39</x:v>
      </x:c>
      <x:c r="C10" s="15" t="str">
        <x:v>Evaluated</x:v>
      </x:c>
      <x:c r="D10" s="16" t="n">
        <x:f>'Token detail'!D10</x:f>
        <x:v>0.5775</x:v>
      </x:c>
      <x:c r="E10" s="17" t="n">
        <x:f>IF(C10="Estimated","",'Cost detail'!B10)</x:f>
        <x:v>0.5</x:v>
      </x:c>
      <x:c r="F10" s="18" t="n">
        <x:f>IF(C10="Estimated","",'Token detail'!E10)</x:f>
        <x:v>7874</x:v>
      </x:c>
      <x:c r="G10" s="19" t="n">
        <x:f>IF(C10="Estimated","",B10/E10)</x:f>
        <x:v>78</x:v>
      </x:c>
      <x:c r="H10" s="15" t="n">
        <x:f>IF(C10="Estimated","",1+COUNTIF($G$6:$G$25,"&gt;"&amp;G10))</x:f>
        <x:v>5</x:v>
      </x:c>
      <x:c r="I10" s="19" t="n">
        <x:f>IF(C10="Estimated","",B10/F10*1000)</x:f>
        <x:v>4.953009906019812</x:v>
      </x:c>
      <x:c r="J10" s="15" t="n">
        <x:f>IF(C10="Estimated","",1+COUNTIF($I$6:$I$25,"&gt;"&amp;I10))</x:f>
        <x:v>4</x:v>
      </x:c>
      <x:c r="K10" s="20" t="n">
        <x:f>IF(C10="Estimated","",'Token detail'!G10/F10)</x:f>
        <x:v>0.33810007620015237</x:v>
      </x:c>
    </x:row>
    <x:row r="11" ht="24" customHeight="1">
      <x:c r="A11" s="1" t="str">
        <x:v>GPT-5.6 Terra (xhigh)</x:v>
      </x:c>
      <x:c r="B11" s="15" t="n">
        <x:f>'Token detail'!B11</x:f>
        <x:v>38</x:v>
      </x:c>
      <x:c r="C11" s="15" t="str">
        <x:v>Evaluated</x:v>
      </x:c>
      <x:c r="D11" s="16" t="n">
        <x:f>'Token detail'!D11</x:f>
        <x:v>0.4552</x:v>
      </x:c>
      <x:c r="E11" s="17" t="n">
        <x:f>IF(C11="Estimated","",'Cost detail'!B11)</x:f>
        <x:v>0.63</x:v>
      </x:c>
      <x:c r="F11" s="18" t="n">
        <x:f>IF(C11="Estimated","",'Token detail'!E11)</x:f>
        <x:v>20367.3</x:v>
      </x:c>
      <x:c r="G11" s="19" t="n">
        <x:f>IF(C11="Estimated","",B11/E11)</x:f>
        <x:v>60.317460317460316</x:v>
      </x:c>
      <x:c r="H11" s="15" t="n">
        <x:f>IF(C11="Estimated","",1+COUNTIF($G$6:$G$25,"&gt;"&amp;G11))</x:f>
        <x:v>6</x:v>
      </x:c>
      <x:c r="I11" s="19" t="n">
        <x:f>IF(C11="Estimated","",B11/F11*1000)</x:f>
        <x:v>1.8657357627176896</x:v>
      </x:c>
      <x:c r="J11" s="15" t="n">
        <x:f>IF(C11="Estimated","",1+COUNTIF($I$6:$I$25,"&gt;"&amp;I11))</x:f>
        <x:v>11</x:v>
      </x:c>
      <x:c r="K11" s="20" t="n">
        <x:f>IF(C11="Estimated","",'Token detail'!G11/F11)</x:f>
        <x:v>0.565205009991506</x:v>
      </x:c>
    </x:row>
    <x:row r="12" ht="24" customHeight="1">
      <x:c r="A12" s="1" t="str">
        <x:v>GPT-5.6 Sol (high)</x:v>
      </x:c>
      <x:c r="B12" s="15" t="n">
        <x:f>'Token detail'!B12</x:f>
        <x:v>42</x:v>
      </x:c>
      <x:c r="C12" s="15" t="str">
        <x:v>Evaluated</x:v>
      </x:c>
      <x:c r="D12" s="16" t="n">
        <x:f>'Token detail'!D12</x:f>
        <x:v>0.5835</x:v>
      </x:c>
      <x:c r="E12" s="17" t="n">
        <x:f>IF(C12="Estimated","",'Cost detail'!B12)</x:f>
        <x:v>0.81</x:v>
      </x:c>
      <x:c r="F12" s="18" t="n">
        <x:f>IF(C12="Estimated","",'Token detail'!E12)</x:f>
        <x:v>13250</x:v>
      </x:c>
      <x:c r="G12" s="19" t="n">
        <x:f>IF(C12="Estimated","",B12/E12)</x:f>
        <x:v>51.85185185185185</x:v>
      </x:c>
      <x:c r="H12" s="15" t="n">
        <x:f>IF(C12="Estimated","",1+COUNTIF($G$6:$G$25,"&gt;"&amp;G12))</x:f>
        <x:v>8</x:v>
      </x:c>
      <x:c r="I12" s="19" t="n">
        <x:f>IF(C12="Estimated","",B12/F12*1000)</x:f>
        <x:v>3.1698113207547167</x:v>
      </x:c>
      <x:c r="J12" s="15" t="n">
        <x:f>IF(C12="Estimated","",1+COUNTIF($I$6:$I$25,"&gt;"&amp;I12))</x:f>
        <x:v>6</x:v>
      </x:c>
      <x:c r="K12" s="20" t="n">
        <x:f>IF(C12="Estimated","",'Token detail'!G12/F12)</x:f>
        <x:v>0.44341886792452834</x:v>
      </x:c>
    </x:row>
    <x:row r="13" ht="24" customHeight="1">
      <x:c r="A13" s="1" t="str">
        <x:v>GPT-6 Astra (low)</x:v>
      </x:c>
      <x:c r="B13" s="15" t="n">
        <x:f>'Token detail'!B13</x:f>
        <x:v>46</x:v>
      </x:c>
      <x:c r="C13" s="15" t="str">
        <x:v>Evaluated</x:v>
      </x:c>
      <x:c r="D13" s="16" t="n">
        <x:f>'Token detail'!D13</x:f>
        <x:v>0.5953</x:v>
      </x:c>
      <x:c r="E13" s="17" t="n">
        <x:f>IF(C13="Estimated","",'Cost detail'!B13)</x:f>
        <x:v>0.82</x:v>
      </x:c>
      <x:c r="F13" s="18" t="n">
        <x:f>IF(C13="Estimated","",'Token detail'!E13)</x:f>
        <x:v>4432.7</x:v>
      </x:c>
      <x:c r="G13" s="19" t="n">
        <x:f>IF(C13="Estimated","",B13/E13)</x:f>
        <x:v>56.09756097560976</x:v>
      </x:c>
      <x:c r="H13" s="15" t="n">
        <x:f>IF(C13="Estimated","",1+COUNTIF($G$6:$G$25,"&gt;"&amp;G13))</x:f>
        <x:v>7</x:v>
      </x:c>
      <x:c r="I13" s="19" t="n">
        <x:f>IF(C13="Estimated","",B13/F13*1000)</x:f>
        <x:v>10.377422338529565</x:v>
      </x:c>
      <x:c r="J13" s="15" t="n">
        <x:f>IF(C13="Estimated","",1+COUNTIF($I$6:$I$25,"&gt;"&amp;I13))</x:f>
        <x:v>1</x:v>
      </x:c>
      <x:c r="K13" s="20" t="n">
        <x:f>IF(C13="Estimated","",'Token detail'!G13/F13)</x:f>
        <x:v>0.21154149840954725</x:v>
      </x:c>
    </x:row>
    <x:row r="14" ht="24" customHeight="1">
      <x:c r="A14" s="1" t="str">
        <x:v>GPT-5.6 Sol (xhigh)</x:v>
      </x:c>
      <x:c r="B14" s="15" t="n">
        <x:f>'Token detail'!B14</x:f>
        <x:v>44</x:v>
      </x:c>
      <x:c r="C14" s="15" t="str">
        <x:v>Evaluated</x:v>
      </x:c>
      <x:c r="D14" s="16" t="n">
        <x:f>'Token detail'!D14</x:f>
        <x:v>0.5882</x:v>
      </x:c>
      <x:c r="E14" s="17" t="n">
        <x:f>IF(C14="Estimated","",'Cost detail'!B14)</x:f>
        <x:v>1.18</x:v>
      </x:c>
      <x:c r="F14" s="18" t="n">
        <x:f>IF(C14="Estimated","",'Token detail'!E14)</x:f>
        <x:v>19576.3</x:v>
      </x:c>
      <x:c r="G14" s="19" t="n">
        <x:f>IF(C14="Estimated","",B14/E14)</x:f>
        <x:v>37.28813559322034</x:v>
      </x:c>
      <x:c r="H14" s="15" t="n">
        <x:f>IF(C14="Estimated","",1+COUNTIF($G$6:$G$25,"&gt;"&amp;G14))</x:f>
        <x:v>9</x:v>
      </x:c>
      <x:c r="I14" s="19" t="n">
        <x:f>IF(C14="Estimated","",B14/F14*1000)</x:f>
        <x:v>2.247615739440037</x:v>
      </x:c>
      <x:c r="J14" s="15" t="n">
        <x:f>IF(C14="Estimated","",1+COUNTIF($I$6:$I$25,"&gt;"&amp;I14))</x:f>
        <x:v>9</x:v>
      </x:c>
      <x:c r="K14" s="20" t="n">
        <x:f>IF(C14="Estimated","",'Token detail'!G14/F14)</x:f>
        <x:v>0.5172530049089971</x:v>
      </x:c>
    </x:row>
    <x:row r="15" ht="24" customHeight="1">
      <x:c r="A15" s="1" t="str">
        <x:v>GPT-5.6 Terra (max)</x:v>
      </x:c>
      <x:c r="B15" s="15" t="n">
        <x:f>'Token detail'!B15</x:f>
        <x:v>42</x:v>
      </x:c>
      <x:c r="C15" s="15" t="str">
        <x:v>Evaluated</x:v>
      </x:c>
      <x:c r="D15" s="16" t="n">
        <x:f>'Token detail'!D15</x:f>
        <x:v>0.468</x:v>
      </x:c>
      <x:c r="E15" s="17" t="n">
        <x:f>IF(C15="Estimated","",'Cost detail'!B15)</x:f>
        <x:v>1.4</x:v>
      </x:c>
      <x:c r="F15" s="18" t="n">
        <x:f>IF(C15="Estimated","",'Token detail'!E15)</x:f>
        <x:v>38897.5</x:v>
      </x:c>
      <x:c r="G15" s="19" t="n">
        <x:f>IF(C15="Estimated","",B15/E15)</x:f>
        <x:v>30.000000000000004</x:v>
      </x:c>
      <x:c r="H15" s="15" t="n">
        <x:f>IF(C15="Estimated","",1+COUNTIF($G$6:$G$25,"&gt;"&amp;G15))</x:f>
        <x:v>11</x:v>
      </x:c>
      <x:c r="I15" s="19" t="n">
        <x:f>IF(C15="Estimated","",B15/F15*1000)</x:f>
        <x:v>1.0797609100841956</x:v>
      </x:c>
      <x:c r="J15" s="15" t="n">
        <x:f>IF(C15="Estimated","",1+COUNTIF($I$6:$I$25,"&gt;"&amp;I15))</x:f>
        <x:v>14</x:v>
      </x:c>
      <x:c r="K15" s="20" t="n">
        <x:f>IF(C15="Estimated","",'Token detail'!G15/F15)</x:f>
        <x:v>0.6695520277652806</x:v>
      </x:c>
    </x:row>
    <x:row r="16" ht="24" customHeight="1">
      <x:c r="A16" s="1" t="str">
        <x:v>GPT-6 Astra (medium)</x:v>
      </x:c>
      <x:c r="B16" s="15" t="n">
        <x:f>'Token detail'!B16</x:f>
        <x:v>50</x:v>
      </x:c>
      <x:c r="C16" s="15" t="str">
        <x:v>Evaluated</x:v>
      </x:c>
      <x:c r="D16" s="16" t="n">
        <x:f>'Token detail'!D16</x:f>
        <x:v>0.6057</x:v>
      </x:c>
      <x:c r="E16" s="17" t="n">
        <x:f>IF(C16="Estimated","",'Cost detail'!B16)</x:f>
        <x:v>1.54</x:v>
      </x:c>
      <x:c r="F16" s="18" t="n">
        <x:f>IF(C16="Estimated","",'Token detail'!E16)</x:f>
        <x:v>9589.6</x:v>
      </x:c>
      <x:c r="G16" s="19" t="n">
        <x:f>IF(C16="Estimated","",B16/E16)</x:f>
        <x:v>32.467532467532465</x:v>
      </x:c>
      <x:c r="H16" s="15" t="n">
        <x:f>IF(C16="Estimated","",1+COUNTIF($G$6:$G$25,"&gt;"&amp;G16))</x:f>
        <x:v>10</x:v>
      </x:c>
      <x:c r="I16" s="19" t="n">
        <x:f>IF(C16="Estimated","",B16/F16*1000)</x:f>
        <x:v>5.213981813631435</x:v>
      </x:c>
      <x:c r="J16" s="15" t="n">
        <x:f>IF(C16="Estimated","",1+COUNTIF($I$6:$I$25,"&gt;"&amp;I16))</x:f>
        <x:v>3</x:v>
      </x:c>
      <x:c r="K16" s="20" t="n">
        <x:f>IF(C16="Estimated","",'Token detail'!G16/F16)</x:f>
        <x:v>0.35681363143405354</x:v>
      </x:c>
    </x:row>
    <x:row r="17" ht="24" customHeight="1">
      <x:c r="A17" s="1" t="str">
        <x:v>GPT-6 Astra (high)</x:v>
      </x:c>
      <x:c r="B17" s="15" t="n">
        <x:f>'Token detail'!B17</x:f>
        <x:v>51</x:v>
      </x:c>
      <x:c r="C17" s="15" t="str">
        <x:v>Evaluated</x:v>
      </x:c>
      <x:c r="D17" s="16" t="n">
        <x:f>'Token detail'!D17</x:f>
        <x:v>0.6113</x:v>
      </x:c>
      <x:c r="E17" s="17" t="n">
        <x:f>IF(C17="Estimated","",'Cost detail'!B17)</x:f>
        <x:v>1.72</x:v>
      </x:c>
      <x:c r="F17" s="18" t="n">
        <x:f>IF(C17="Estimated","",'Token detail'!E17)</x:f>
        <x:v>11794.9</x:v>
      </x:c>
      <x:c r="G17" s="19" t="n">
        <x:f>IF(C17="Estimated","",B17/E17)</x:f>
        <x:v>29.651162790697676</x:v>
      </x:c>
      <x:c r="H17" s="15" t="n">
        <x:f>IF(C17="Estimated","",1+COUNTIF($G$6:$G$25,"&gt;"&amp;G17))</x:f>
        <x:v>12</x:v>
      </x:c>
      <x:c r="I17" s="19" t="n">
        <x:f>IF(C17="Estimated","",B17/F17*1000)</x:f>
        <x:v>4.323902703710926</x:v>
      </x:c>
      <x:c r="J17" s="15" t="n">
        <x:f>IF(C17="Estimated","",1+COUNTIF($I$6:$I$25,"&gt;"&amp;I17))</x:f>
        <x:v>5</x:v>
      </x:c>
      <x:c r="K17" s="20" t="n">
        <x:f>IF(C17="Estimated","",'Token detail'!G17/F17)</x:f>
        <x:v>0.3991301325149005</x:v>
      </x:c>
    </x:row>
    <x:row r="18" ht="24" customHeight="1">
      <x:c r="A18" s="1" t="str">
        <x:v>GPT-5.6 Sol (max)</x:v>
      </x:c>
      <x:c r="B18" s="15" t="n">
        <x:f>'Token detail'!B18</x:f>
        <x:v>47</x:v>
      </x:c>
      <x:c r="C18" s="15" t="str">
        <x:v>Evaluated</x:v>
      </x:c>
      <x:c r="D18" s="16" t="n">
        <x:f>'Token detail'!D18</x:f>
        <x:v>0.594</x:v>
      </x:c>
      <x:c r="E18" s="17" t="n">
        <x:f>IF(C18="Estimated","",'Cost detail'!B18)</x:f>
        <x:v>1.99</x:v>
      </x:c>
      <x:c r="F18" s="18" t="n">
        <x:f>IF(C18="Estimated","",'Token detail'!E18)</x:f>
        <x:v>29309.4</x:v>
      </x:c>
      <x:c r="G18" s="19" t="n">
        <x:f>IF(C18="Estimated","",B18/E18)</x:f>
        <x:v>23.618090452261306</x:v>
      </x:c>
      <x:c r="H18" s="15" t="n">
        <x:f>IF(C18="Estimated","",1+COUNTIF($G$6:$G$25,"&gt;"&amp;G18))</x:f>
        <x:v>13</x:v>
      </x:c>
      <x:c r="I18" s="19" t="n">
        <x:f>IF(C18="Estimated","",B18/F18*1000)</x:f>
        <x:v>1.6035811036732244</x:v>
      </x:c>
      <x:c r="J18" s="15" t="n">
        <x:f>IF(C18="Estimated","",1+COUNTIF($I$6:$I$25,"&gt;"&amp;I18))</x:f>
        <x:v>12</x:v>
      </x:c>
      <x:c r="K18" s="20" t="n">
        <x:f>IF(C18="Estimated","",'Token detail'!G18/F18)</x:f>
        <x:v>0.5895855937003146</x:v>
      </x:c>
    </x:row>
    <x:row r="19" ht="24" customHeight="1">
      <x:c r="A19" s="1" t="str">
        <x:v>GPT-6 Astra (xhigh)</x:v>
      </x:c>
      <x:c r="B19" s="15" t="n">
        <x:f>'Token detail'!B19</x:f>
        <x:v>53</x:v>
      </x:c>
      <x:c r="C19" s="15" t="str">
        <x:v>Evaluated</x:v>
      </x:c>
      <x:c r="D19" s="16" t="n">
        <x:f>'Token detail'!D19</x:f>
        <x:v>0.6185</x:v>
      </x:c>
      <x:c r="E19" s="17" t="n">
        <x:f>IF(C19="Estimated","",'Cost detail'!B19)</x:f>
        <x:v>2.31</x:v>
      </x:c>
      <x:c r="F19" s="18" t="n">
        <x:f>IF(C19="Estimated","",'Token detail'!E19)</x:f>
        <x:v>16901.2</x:v>
      </x:c>
      <x:c r="G19" s="19" t="n">
        <x:f>IF(C19="Estimated","",B19/E19)</x:f>
        <x:v>22.943722943722943</x:v>
      </x:c>
      <x:c r="H19" s="15" t="n">
        <x:f>IF(C19="Estimated","",1+COUNTIF($G$6:$G$25,"&gt;"&amp;G19))</x:f>
        <x:v>14</x:v>
      </x:c>
      <x:c r="I19" s="19" t="n">
        <x:f>IF(C19="Estimated","",B19/F19*1000)</x:f>
        <x:v>3.135872009088112</x:v>
      </x:c>
      <x:c r="J19" s="15" t="n">
        <x:f>IF(C19="Estimated","",1+COUNTIF($I$6:$I$25,"&gt;"&amp;I19))</x:f>
        <x:v>7</x:v>
      </x:c>
      <x:c r="K19" s="20" t="n">
        <x:f>IF(C19="Estimated","",'Token detail'!G19/F19)</x:f>
        <x:v>0.5078041795848816</x:v>
      </x:c>
    </x:row>
    <x:row r="20" ht="24" customHeight="1">
      <x:c r="A20" s="1" t="str">
        <x:v>GPT-6 Astra (max)</x:v>
      </x:c>
      <x:c r="B20" s="15" t="n">
        <x:f>'Token detail'!B20</x:f>
        <x:v>53</x:v>
      </x:c>
      <x:c r="C20" s="15" t="str">
        <x:v>Evaluated</x:v>
      </x:c>
      <x:c r="D20" s="16" t="n">
        <x:f>'Token detail'!D20</x:f>
        <x:v>0.626</x:v>
      </x:c>
      <x:c r="E20" s="17" t="n">
        <x:f>IF(C20="Estimated","",'Cost detail'!B20)</x:f>
        <x:v>3.26</x:v>
      </x:c>
      <x:c r="F20" s="18" t="n">
        <x:f>IF(C20="Estimated","",'Token detail'!E20)</x:f>
        <x:v>27205.5</x:v>
      </x:c>
      <x:c r="G20" s="19" t="n">
        <x:f>IF(C20="Estimated","",B20/E20)</x:f>
        <x:v>16.257668711656443</x:v>
      </x:c>
      <x:c r="H20" s="15" t="n">
        <x:f>IF(C20="Estimated","",1+COUNTIF($G$6:$G$25,"&gt;"&amp;G20))</x:f>
        <x:v>15</x:v>
      </x:c>
      <x:c r="I20" s="19" t="n">
        <x:f>IF(C20="Estimated","",B20/F20*1000)</x:f>
        <x:v>1.9481354873095513</x:v>
      </x:c>
      <x:c r="J20" s="15" t="n">
        <x:f>IF(C20="Estimated","",1+COUNTIF($I$6:$I$25,"&gt;"&amp;I20))</x:f>
        <x:v>10</x:v>
      </x:c>
      <x:c r="K20" s="20" t="n">
        <x:f>IF(C20="Estimated","",'Token detail'!G20/F20)</x:f>
        <x:v>0.613523000863796</x:v>
      </x:c>
    </x:row>
    <x:row r="21" ht="24" customHeight="1">
      <x:c r="A21" s="1" t="str">
        <x:v>GPT-5.6 Luna (high)</x:v>
      </x:c>
      <x:c r="B21" s="15" t="n">
        <x:f>'Token detail'!B21</x:f>
        <x:v>33</x:v>
      </x:c>
      <x:c r="C21" s="15" t="str">
        <x:v>Estimated</x:v>
      </x:c>
      <x:c r="D21" s="16" t="n">
        <x:f>'Token detail'!D21</x:f>
        <x:v>0.4178</x:v>
      </x:c>
      <x:c r="E21" s="17" t="str">
        <x:f>IF(C21="Estimated","",'Cost detail'!B21)</x:f>
      </x:c>
      <x:c r="F21" s="18" t="str">
        <x:f>IF(C21="Estimated","",'Token detail'!E21)</x:f>
      </x:c>
      <x:c r="G21" s="19" t="str">
        <x:f>IF(C21="Estimated","",B21/E21)</x:f>
      </x:c>
      <x:c r="H21" s="15" t="str">
        <x:f>IF(C21="Estimated","",1+COUNTIF($G$6:$G$25,"&gt;"&amp;G21))</x:f>
      </x:c>
      <x:c r="I21" s="19" t="str">
        <x:f>IF(C21="Estimated","",B21/F21*1000)</x:f>
      </x:c>
      <x:c r="J21" s="15" t="str">
        <x:f>IF(C21="Estimated","",1+COUNTIF($I$6:$I$25,"&gt;"&amp;I21))</x:f>
      </x:c>
      <x:c r="K21" s="20" t="str">
        <x:f>IF(C21="Estimated","",'Token detail'!G21/F21)</x:f>
      </x:c>
    </x:row>
    <x:row r="22" ht="24" customHeight="1">
      <x:c r="A22" s="1" t="str">
        <x:v>GPT-5.6 Terra (medium)</x:v>
      </x:c>
      <x:c r="B22" s="15" t="n">
        <x:f>'Token detail'!B22</x:f>
        <x:v>33</x:v>
      </x:c>
      <x:c r="C22" s="15" t="str">
        <x:v>Estimated</x:v>
      </x:c>
      <x:c r="D22" s="16" t="n">
        <x:f>'Token detail'!D22</x:f>
        <x:v>0.446</x:v>
      </x:c>
      <x:c r="E22" s="17" t="str">
        <x:f>IF(C22="Estimated","",'Cost detail'!B22)</x:f>
      </x:c>
      <x:c r="F22" s="18" t="str">
        <x:f>IF(C22="Estimated","",'Token detail'!E22)</x:f>
      </x:c>
      <x:c r="G22" s="19" t="str">
        <x:f>IF(C22="Estimated","",B22/E22)</x:f>
      </x:c>
      <x:c r="H22" s="15" t="str">
        <x:f>IF(C22="Estimated","",1+COUNTIF($G$6:$G$25,"&gt;"&amp;G22))</x:f>
      </x:c>
      <x:c r="I22" s="19" t="str">
        <x:f>IF(C22="Estimated","",B22/F22*1000)</x:f>
      </x:c>
      <x:c r="J22" s="15" t="str">
        <x:f>IF(C22="Estimated","",1+COUNTIF($I$6:$I$25,"&gt;"&amp;I22))</x:f>
      </x:c>
      <x:c r="K22" s="20" t="str">
        <x:f>IF(C22="Estimated","",'Token detail'!G22/F22)</x:f>
      </x:c>
    </x:row>
    <x:row r="23" ht="24" customHeight="1">
      <x:c r="A23" s="1" t="str">
        <x:v>GPT-5.6 Terra (low)</x:v>
      </x:c>
      <x:c r="B23" s="15" t="n">
        <x:f>'Token detail'!B23</x:f>
        <x:v>28</x:v>
      </x:c>
      <x:c r="C23" s="15" t="str">
        <x:v>Estimated</x:v>
      </x:c>
      <x:c r="D23" s="16" t="n">
        <x:f>'Token detail'!D23</x:f>
        <x:v>0.4373</x:v>
      </x:c>
      <x:c r="E23" s="17" t="str">
        <x:f>IF(C23="Estimated","",'Cost detail'!B23)</x:f>
      </x:c>
      <x:c r="F23" s="18" t="str">
        <x:f>IF(C23="Estimated","",'Token detail'!E23)</x:f>
      </x:c>
      <x:c r="G23" s="19" t="str">
        <x:f>IF(C23="Estimated","",B23/E23)</x:f>
      </x:c>
      <x:c r="H23" s="15" t="str">
        <x:f>IF(C23="Estimated","",1+COUNTIF($G$6:$G$25,"&gt;"&amp;G23))</x:f>
      </x:c>
      <x:c r="I23" s="19" t="str">
        <x:f>IF(C23="Estimated","",B23/F23*1000)</x:f>
      </x:c>
      <x:c r="J23" s="15" t="str">
        <x:f>IF(C23="Estimated","",1+COUNTIF($I$6:$I$25,"&gt;"&amp;I23))</x:f>
      </x:c>
      <x:c r="K23" s="20" t="str">
        <x:f>IF(C23="Estimated","",'Token detail'!G23/F23)</x:f>
      </x:c>
    </x:row>
    <x:row r="24" ht="24" customHeight="1">
      <x:c r="A24" s="1" t="str">
        <x:v>GPT-5.6 Luna (medium)</x:v>
      </x:c>
      <x:c r="B24" s="15" t="n">
        <x:f>'Token detail'!B24</x:f>
        <x:v>26</x:v>
      </x:c>
      <x:c r="C24" s="15" t="str">
        <x:v>Estimated</x:v>
      </x:c>
      <x:c r="D24" s="16" t="n">
        <x:f>'Token detail'!D24</x:f>
        <x:v>0.407</x:v>
      </x:c>
      <x:c r="E24" s="17" t="str">
        <x:f>IF(C24="Estimated","",'Cost detail'!B24)</x:f>
      </x:c>
      <x:c r="F24" s="18" t="str">
        <x:f>IF(C24="Estimated","",'Token detail'!E24)</x:f>
      </x:c>
      <x:c r="G24" s="19" t="str">
        <x:f>IF(C24="Estimated","",B24/E24)</x:f>
      </x:c>
      <x:c r="H24" s="15" t="str">
        <x:f>IF(C24="Estimated","",1+COUNTIF($G$6:$G$25,"&gt;"&amp;G24))</x:f>
      </x:c>
      <x:c r="I24" s="19" t="str">
        <x:f>IF(C24="Estimated","",B24/F24*1000)</x:f>
      </x:c>
      <x:c r="J24" s="15" t="str">
        <x:f>IF(C24="Estimated","",1+COUNTIF($I$6:$I$25,"&gt;"&amp;I24))</x:f>
      </x:c>
      <x:c r="K24" s="20" t="str">
        <x:f>IF(C24="Estimated","",'Token detail'!G24/F24)</x:f>
      </x:c>
    </x:row>
    <x:row r="25" ht="24" customHeight="1">
      <x:c r="A25" s="1" t="str">
        <x:v>GPT-5.6 Luna (low)</x:v>
      </x:c>
      <x:c r="B25" s="15" t="n">
        <x:f>'Token detail'!B25</x:f>
        <x:v>22</x:v>
      </x:c>
      <x:c r="C25" s="15" t="str">
        <x:v>Estimated</x:v>
      </x:c>
      <x:c r="D25" s="16" t="n">
        <x:f>'Token detail'!D25</x:f>
        <x:v>0.3962</x:v>
      </x:c>
      <x:c r="E25" s="17" t="str">
        <x:f>IF(C25="Estimated","",'Cost detail'!B25)</x:f>
      </x:c>
      <x:c r="F25" s="18" t="str">
        <x:f>IF(C25="Estimated","",'Token detail'!E25)</x:f>
      </x:c>
      <x:c r="G25" s="19" t="str">
        <x:f>IF(C25="Estimated","",B25/E25)</x:f>
      </x:c>
      <x:c r="H25" s="15" t="str">
        <x:f>IF(C25="Estimated","",1+COUNTIF($G$6:$G$25,"&gt;"&amp;G25))</x:f>
      </x:c>
      <x:c r="I25" s="19" t="str">
        <x:f>IF(C25="Estimated","",B25/F25*1000)</x:f>
      </x:c>
      <x:c r="J25" s="15" t="str">
        <x:f>IF(C25="Estimated","",1+COUNTIF($I$6:$I$25,"&gt;"&amp;I25))</x:f>
      </x:c>
      <x:c r="K25" s="20" t="str">
        <x:f>IF(C25="Estimated","",'Token detail'!G25/F25)</x:f>
      </x:c>
    </x:row>
  </x:sheetData>
  <x:pageMargins left="0.7" right="0.7" top="0.75" bottom="0.75" header="0.3" footer="0.3"/>
  <x:tableParts count="1">
    <x:tablePart xmlns:r="http://schemas.openxmlformats.org/officeDocument/2006/relationships" r:id="R2019ec6dcc15478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2" t="str">
        <x:v>Output-token use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Source values • weighted per-task averages and unweighted evaluation totals • blanks = unavailable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4" customHeight="1">
      <x:c r="A5" s="6" t="str">
        <x:v>Model / effort</x:v>
      </x:c>
      <x:c r="B5" s="6" t="str">
        <x:v>Intelligence</x:v>
      </x:c>
      <x:c r="C5" s="6" t="str">
        <x:v>Score status</x:v>
      </x:c>
      <x:c r="D5" s="6" t="str">
        <x:v>Omniscience accuracy</x:v>
      </x:c>
      <x:c r="E5" s="6" t="str">
        <x:v>Output tokens / task</x:v>
      </x:c>
      <x:c r="F5" s="6" t="str">
        <x:v>Answer tokens / task</x:v>
      </x:c>
      <x:c r="G5" s="6" t="str">
        <x:v>Reasoning tokens / task</x:v>
      </x:c>
      <x:c r="H5" s="6" t="str">
        <x:v>Total output tokens</x:v>
      </x:c>
      <x:c r="I5" s="6" t="str">
        <x:v>Total answer tokens</x:v>
      </x:c>
      <x:c r="J5" s="6" t="str">
        <x:v>Total reasoning tokens</x:v>
      </x:c>
    </x:row>
    <x:row r="6" ht="24" customHeight="1">
      <x:c r="A6" s="1" t="str">
        <x:v>GPT-5.6 Luna (xhigh)</x:v>
      </x:c>
      <x:c r="B6" s="1" t="n">
        <x:v>35</x:v>
      </x:c>
      <x:c r="C6" s="1" t="str">
        <x:v>Evaluated</x:v>
      </x:c>
      <x:c r="D6" s="7" t="n">
        <x:v>0.4245</x:v>
      </x:c>
      <x:c r="E6" s="8" t="n">
        <x:v>23624.5</x:v>
      </x:c>
      <x:c r="F6" s="8" t="n">
        <x:v>8901.3</x:v>
      </x:c>
      <x:c r="G6" s="8" t="n">
        <x:v>14723.2</x:v>
      </x:c>
      <x:c r="H6" s="9" t="n">
        <x:v>85174201</x:v>
      </x:c>
      <x:c r="I6" s="9" t="n">
        <x:v>14695373</x:v>
      </x:c>
      <x:c r="J6" s="9" t="n">
        <x:v>70478828</x:v>
      </x:c>
    </x:row>
    <x:row r="7" ht="24" customHeight="1">
      <x:c r="A7" s="1" t="str">
        <x:v>GPT-5.6 Luna (max)</x:v>
      </x:c>
      <x:c r="B7" s="1" t="n">
        <x:v>38</x:v>
      </x:c>
      <x:c r="C7" s="1" t="str">
        <x:v>Evaluated</x:v>
      </x:c>
      <x:c r="D7" s="7" t="n">
        <x:v>0.4273</x:v>
      </x:c>
      <x:c r="E7" s="8" t="n">
        <x:v>41234.6</x:v>
      </x:c>
      <x:c r="F7" s="8" t="n">
        <x:v>13136.3</x:v>
      </x:c>
      <x:c r="G7" s="8" t="n">
        <x:v>28098.3</x:v>
      </x:c>
      <x:c r="H7" s="9" t="n">
        <x:v>153656724</x:v>
      </x:c>
      <x:c r="I7" s="9" t="n">
        <x:v>18347818</x:v>
      </x:c>
      <x:c r="J7" s="9" t="n">
        <x:v>135308906</x:v>
      </x:c>
    </x:row>
    <x:row r="8" ht="24" customHeight="1">
      <x:c r="A8" s="1" t="str">
        <x:v>GPT-5.6 Sol (low)</x:v>
      </x:c>
      <x:c r="B8" s="1" t="n">
        <x:v>34</x:v>
      </x:c>
      <x:c r="C8" s="1" t="str">
        <x:v>Evaluated</x:v>
      </x:c>
      <x:c r="D8" s="7" t="n">
        <x:v>0.5717</x:v>
      </x:c>
      <x:c r="E8" s="8" t="n">
        <x:v>3974.4</x:v>
      </x:c>
      <x:c r="F8" s="8" t="n">
        <x:v>3137.2</x:v>
      </x:c>
      <x:c r="G8" s="8" t="n">
        <x:v>837.2</x:v>
      </x:c>
      <x:c r="H8" s="9" t="n">
        <x:v>12646474</x:v>
      </x:c>
      <x:c r="I8" s="9" t="n">
        <x:v>7849391</x:v>
      </x:c>
      <x:c r="J8" s="9" t="n">
        <x:v>4797083</x:v>
      </x:c>
    </x:row>
    <x:row r="9" ht="24" customHeight="1">
      <x:c r="A9" s="1" t="str">
        <x:v>GPT-5.6 Terra (high)</x:v>
      </x:c>
      <x:c r="B9" s="1" t="n">
        <x:v>34</x:v>
      </x:c>
      <x:c r="C9" s="1" t="str">
        <x:v>Evaluated</x:v>
      </x:c>
      <x:c r="D9" s="7" t="n">
        <x:v>0.4548</x:v>
      </x:c>
      <x:c r="E9" s="8" t="n">
        <x:v>11293.7</x:v>
      </x:c>
      <x:c r="F9" s="8" t="n">
        <x:v>5852.2</x:v>
      </x:c>
      <x:c r="G9" s="8" t="n">
        <x:v>5441.4</x:v>
      </x:c>
      <x:c r="H9" s="9" t="n">
        <x:v>33205685</x:v>
      </x:c>
      <x:c r="I9" s="9" t="n">
        <x:v>11108868</x:v>
      </x:c>
      <x:c r="J9" s="9" t="n">
        <x:v>22096817</x:v>
      </x:c>
    </x:row>
    <x:row r="10" ht="24" customHeight="1">
      <x:c r="A10" s="1" t="str">
        <x:v>GPT-5.6 Sol (medium)</x:v>
      </x:c>
      <x:c r="B10" s="1" t="n">
        <x:v>39</x:v>
      </x:c>
      <x:c r="C10" s="1" t="str">
        <x:v>Evaluated</x:v>
      </x:c>
      <x:c r="D10" s="7" t="n">
        <x:v>0.5775</x:v>
      </x:c>
      <x:c r="E10" s="8" t="n">
        <x:v>7874</x:v>
      </x:c>
      <x:c r="F10" s="8" t="n">
        <x:v>5211.8</x:v>
      </x:c>
      <x:c r="G10" s="8" t="n">
        <x:v>2662.2</x:v>
      </x:c>
      <x:c r="H10" s="9" t="n">
        <x:v>21267358</x:v>
      </x:c>
      <x:c r="I10" s="9" t="n">
        <x:v>10644958</x:v>
      </x:c>
      <x:c r="J10" s="9" t="n">
        <x:v>10622400</x:v>
      </x:c>
    </x:row>
    <x:row r="11" ht="24" customHeight="1">
      <x:c r="A11" s="1" t="str">
        <x:v>GPT-5.6 Terra (xhigh)</x:v>
      </x:c>
      <x:c r="B11" s="1" t="n">
        <x:v>38</x:v>
      </x:c>
      <x:c r="C11" s="1" t="str">
        <x:v>Evaluated</x:v>
      </x:c>
      <x:c r="D11" s="7" t="n">
        <x:v>0.4552</x:v>
      </x:c>
      <x:c r="E11" s="8" t="n">
        <x:v>20367.3</x:v>
      </x:c>
      <x:c r="F11" s="8" t="n">
        <x:v>8855.7</x:v>
      </x:c>
      <x:c r="G11" s="8" t="n">
        <x:v>11511.7</x:v>
      </x:c>
      <x:c r="H11" s="9" t="n">
        <x:v>51995246</x:v>
      </x:c>
      <x:c r="I11" s="9" t="n">
        <x:v>14062667</x:v>
      </x:c>
      <x:c r="J11" s="9" t="n">
        <x:v>37932579</x:v>
      </x:c>
    </x:row>
    <x:row r="12" ht="24" customHeight="1">
      <x:c r="A12" s="1" t="str">
        <x:v>GPT-5.6 Sol (high)</x:v>
      </x:c>
      <x:c r="B12" s="1" t="n">
        <x:v>42</x:v>
      </x:c>
      <x:c r="C12" s="1" t="str">
        <x:v>Evaluated</x:v>
      </x:c>
      <x:c r="D12" s="7" t="n">
        <x:v>0.5835</x:v>
      </x:c>
      <x:c r="E12" s="8" t="n">
        <x:v>13250</x:v>
      </x:c>
      <x:c r="F12" s="8" t="n">
        <x:v>7374.7</x:v>
      </x:c>
      <x:c r="G12" s="8" t="n">
        <x:v>5875.3</x:v>
      </x:c>
      <x:c r="H12" s="9" t="n">
        <x:v>33729509</x:v>
      </x:c>
      <x:c r="I12" s="9" t="n">
        <x:v>12964230</x:v>
      </x:c>
      <x:c r="J12" s="9" t="n">
        <x:v>20765279</x:v>
      </x:c>
    </x:row>
    <x:row r="13" ht="24" customHeight="1">
      <x:c r="A13" s="1" t="str">
        <x:v>GPT-6 Astra (low)</x:v>
      </x:c>
      <x:c r="B13" s="1" t="n">
        <x:v>46</x:v>
      </x:c>
      <x:c r="C13" s="1" t="str">
        <x:v>Evaluated</x:v>
      </x:c>
      <x:c r="D13" s="7" t="n">
        <x:v>0.5953</x:v>
      </x:c>
      <x:c r="E13" s="8" t="n">
        <x:v>4432.7</x:v>
      </x:c>
      <x:c r="F13" s="8" t="n">
        <x:v>3495.1</x:v>
      </x:c>
      <x:c r="G13" s="8" t="n">
        <x:v>937.7</x:v>
      </x:c>
      <x:c r="H13" s="9" t="n">
        <x:v>9994716</x:v>
      </x:c>
      <x:c r="I13" s="9" t="n">
        <x:v>7599665</x:v>
      </x:c>
      <x:c r="J13" s="9" t="n">
        <x:v>2395051</x:v>
      </x:c>
    </x:row>
    <x:row r="14" ht="24" customHeight="1">
      <x:c r="A14" s="1" t="str">
        <x:v>GPT-5.6 Sol (xhigh)</x:v>
      </x:c>
      <x:c r="B14" s="1" t="n">
        <x:v>44</x:v>
      </x:c>
      <x:c r="C14" s="1" t="str">
        <x:v>Evaluated</x:v>
      </x:c>
      <x:c r="D14" s="7" t="n">
        <x:v>0.5882</x:v>
      </x:c>
      <x:c r="E14" s="8" t="n">
        <x:v>19576.3</x:v>
      </x:c>
      <x:c r="F14" s="8" t="n">
        <x:v>9450.4</x:v>
      </x:c>
      <x:c r="G14" s="8" t="n">
        <x:v>10125.9</x:v>
      </x:c>
      <x:c r="H14" s="9" t="n">
        <x:v>50998357</x:v>
      </x:c>
      <x:c r="I14" s="9" t="n">
        <x:v>15027018</x:v>
      </x:c>
      <x:c r="J14" s="9" t="n">
        <x:v>35971339</x:v>
      </x:c>
    </x:row>
    <x:row r="15" ht="24" customHeight="1">
      <x:c r="A15" s="1" t="str">
        <x:v>GPT-5.6 Terra (max)</x:v>
      </x:c>
      <x:c r="B15" s="1" t="n">
        <x:v>42</x:v>
      </x:c>
      <x:c r="C15" s="1" t="str">
        <x:v>Evaluated</x:v>
      </x:c>
      <x:c r="D15" s="7" t="n">
        <x:v>0.468</x:v>
      </x:c>
      <x:c r="E15" s="8" t="n">
        <x:v>38897.5</x:v>
      </x:c>
      <x:c r="F15" s="8" t="n">
        <x:v>12853.5</x:v>
      </x:c>
      <x:c r="G15" s="8" t="n">
        <x:v>26043.9</x:v>
      </x:c>
      <x:c r="H15" s="9" t="n">
        <x:v>121832989</x:v>
      </x:c>
      <x:c r="I15" s="9" t="n">
        <x:v>17566953</x:v>
      </x:c>
      <x:c r="J15" s="9" t="n">
        <x:v>104266036</x:v>
      </x:c>
    </x:row>
    <x:row r="16" ht="24" customHeight="1">
      <x:c r="A16" s="1" t="str">
        <x:v>GPT-6 Astra (medium)</x:v>
      </x:c>
      <x:c r="B16" s="1" t="n">
        <x:v>50</x:v>
      </x:c>
      <x:c r="C16" s="1" t="str">
        <x:v>Evaluated</x:v>
      </x:c>
      <x:c r="D16" s="7" t="n">
        <x:v>0.6057</x:v>
      </x:c>
      <x:c r="E16" s="8" t="n">
        <x:v>9589.6</x:v>
      </x:c>
      <x:c r="F16" s="8" t="n">
        <x:v>6167.9</x:v>
      </x:c>
      <x:c r="G16" s="8" t="n">
        <x:v>3421.7</x:v>
      </x:c>
      <x:c r="H16" s="9" t="n">
        <x:v>18913587</x:v>
      </x:c>
      <x:c r="I16" s="9" t="n">
        <x:v>10809789</x:v>
      </x:c>
      <x:c r="J16" s="9" t="n">
        <x:v>8103798</x:v>
      </x:c>
    </x:row>
    <x:row r="17" ht="24" customHeight="1">
      <x:c r="A17" s="1" t="str">
        <x:v>GPT-6 Astra (high)</x:v>
      </x:c>
      <x:c r="B17" s="1" t="n">
        <x:v>51</x:v>
      </x:c>
      <x:c r="C17" s="1" t="str">
        <x:v>Evaluated</x:v>
      </x:c>
      <x:c r="D17" s="7" t="n">
        <x:v>0.6113</x:v>
      </x:c>
      <x:c r="E17" s="8" t="n">
        <x:v>11794.9</x:v>
      </x:c>
      <x:c r="F17" s="8" t="n">
        <x:v>7087.2</x:v>
      </x:c>
      <x:c r="G17" s="8" t="n">
        <x:v>4707.7</x:v>
      </x:c>
      <x:c r="H17" s="9" t="n">
        <x:v>26187637</x:v>
      </x:c>
      <x:c r="I17" s="9" t="n">
        <x:v>12166309</x:v>
      </x:c>
      <x:c r="J17" s="9" t="n">
        <x:v>14021328</x:v>
      </x:c>
    </x:row>
    <x:row r="18" ht="24" customHeight="1">
      <x:c r="A18" s="1" t="str">
        <x:v>GPT-5.6 Sol (max)</x:v>
      </x:c>
      <x:c r="B18" s="1" t="n">
        <x:v>47</x:v>
      </x:c>
      <x:c r="C18" s="1" t="str">
        <x:v>Evaluated</x:v>
      </x:c>
      <x:c r="D18" s="7" t="n">
        <x:v>0.594</x:v>
      </x:c>
      <x:c r="E18" s="8" t="n">
        <x:v>29309.4</x:v>
      </x:c>
      <x:c r="F18" s="8" t="n">
        <x:v>12028.9</x:v>
      </x:c>
      <x:c r="G18" s="8" t="n">
        <x:v>17280.4</x:v>
      </x:c>
      <x:c r="H18" s="9" t="n">
        <x:v>89979207</x:v>
      </x:c>
      <x:c r="I18" s="9" t="n">
        <x:v>17377727</x:v>
      </x:c>
      <x:c r="J18" s="9" t="n">
        <x:v>72601480</x:v>
      </x:c>
    </x:row>
    <x:row r="19" ht="24" customHeight="1">
      <x:c r="A19" s="1" t="str">
        <x:v>GPT-6 Astra (xhigh)</x:v>
      </x:c>
      <x:c r="B19" s="1" t="n">
        <x:v>53</x:v>
      </x:c>
      <x:c r="C19" s="1" t="str">
        <x:v>Evaluated</x:v>
      </x:c>
      <x:c r="D19" s="7" t="n">
        <x:v>0.6185</x:v>
      </x:c>
      <x:c r="E19" s="8" t="n">
        <x:v>16901.2</x:v>
      </x:c>
      <x:c r="F19" s="8" t="n">
        <x:v>8318.7</x:v>
      </x:c>
      <x:c r="G19" s="8" t="n">
        <x:v>8582.5</x:v>
      </x:c>
      <x:c r="H19" s="9" t="n">
        <x:v>37901142</x:v>
      </x:c>
      <x:c r="I19" s="9" t="n">
        <x:v>13409872</x:v>
      </x:c>
      <x:c r="J19" s="9" t="n">
        <x:v>24491270</x:v>
      </x:c>
    </x:row>
    <x:row r="20" ht="24" customHeight="1">
      <x:c r="A20" s="1" t="str">
        <x:v>GPT-6 Astra (max)</x:v>
      </x:c>
      <x:c r="B20" s="1" t="n">
        <x:v>53</x:v>
      </x:c>
      <x:c r="C20" s="1" t="str">
        <x:v>Evaluated</x:v>
      </x:c>
      <x:c r="D20" s="7" t="n">
        <x:v>0.626</x:v>
      </x:c>
      <x:c r="E20" s="8" t="n">
        <x:v>27205.5</x:v>
      </x:c>
      <x:c r="F20" s="8" t="n">
        <x:v>10514.3</x:v>
      </x:c>
      <x:c r="G20" s="8" t="n">
        <x:v>16691.2</x:v>
      </x:c>
      <x:c r="H20" s="9" t="n">
        <x:v>60007725</x:v>
      </x:c>
      <x:c r="I20" s="9" t="n">
        <x:v>15559937</x:v>
      </x:c>
      <x:c r="J20" s="9" t="n">
        <x:v>44447788</x:v>
      </x:c>
    </x:row>
    <x:row r="21" ht="24" customHeight="1">
      <x:c r="A21" s="1" t="str">
        <x:v>GPT-5.6 Luna (high)</x:v>
      </x:c>
      <x:c r="B21" s="1" t="n">
        <x:v>33</x:v>
      </x:c>
      <x:c r="C21" s="1" t="str">
        <x:v>Estimated</x:v>
      </x:c>
      <x:c r="D21" s="7" t="n">
        <x:v>0.4178</x:v>
      </x:c>
      <x:c r="E21" s="8"/>
      <x:c r="F21" s="8"/>
      <x:c r="G21" s="8"/>
      <x:c r="H21" s="9"/>
      <x:c r="I21" s="9"/>
      <x:c r="J21" s="9"/>
    </x:row>
    <x:row r="22" ht="24" customHeight="1">
      <x:c r="A22" s="1" t="str">
        <x:v>GPT-5.6 Terra (medium)</x:v>
      </x:c>
      <x:c r="B22" s="1" t="n">
        <x:v>33</x:v>
      </x:c>
      <x:c r="C22" s="1" t="str">
        <x:v>Estimated</x:v>
      </x:c>
      <x:c r="D22" s="7" t="n">
        <x:v>0.446</x:v>
      </x:c>
      <x:c r="E22" s="8"/>
      <x:c r="F22" s="8"/>
      <x:c r="G22" s="8"/>
      <x:c r="H22" s="9"/>
      <x:c r="I22" s="9"/>
      <x:c r="J22" s="9"/>
    </x:row>
    <x:row r="23" ht="24" customHeight="1">
      <x:c r="A23" s="1" t="str">
        <x:v>GPT-5.6 Terra (low)</x:v>
      </x:c>
      <x:c r="B23" s="1" t="n">
        <x:v>28</x:v>
      </x:c>
      <x:c r="C23" s="1" t="str">
        <x:v>Estimated</x:v>
      </x:c>
      <x:c r="D23" s="7" t="n">
        <x:v>0.4373</x:v>
      </x:c>
      <x:c r="E23" s="8"/>
      <x:c r="F23" s="8"/>
      <x:c r="G23" s="8"/>
      <x:c r="H23" s="9"/>
      <x:c r="I23" s="9"/>
      <x:c r="J23" s="9"/>
    </x:row>
    <x:row r="24" ht="24" customHeight="1">
      <x:c r="A24" s="1" t="str">
        <x:v>GPT-5.6 Luna (medium)</x:v>
      </x:c>
      <x:c r="B24" s="1" t="n">
        <x:v>26</x:v>
      </x:c>
      <x:c r="C24" s="1" t="str">
        <x:v>Estimated</x:v>
      </x:c>
      <x:c r="D24" s="7" t="n">
        <x:v>0.407</x:v>
      </x:c>
      <x:c r="E24" s="8"/>
      <x:c r="F24" s="8"/>
      <x:c r="G24" s="8"/>
      <x:c r="H24" s="9"/>
      <x:c r="I24" s="9"/>
      <x:c r="J24" s="9"/>
    </x:row>
    <x:row r="25" ht="24" customHeight="1">
      <x:c r="A25" s="1" t="str">
        <x:v>GPT-5.6 Luna (low)</x:v>
      </x:c>
      <x:c r="B25" s="1" t="n">
        <x:v>22</x:v>
      </x:c>
      <x:c r="C25" s="1" t="str">
        <x:v>Estimated</x:v>
      </x:c>
      <x:c r="D25" s="7" t="n">
        <x:v>0.3962</x:v>
      </x:c>
      <x:c r="E25" s="8"/>
      <x:c r="F25" s="8"/>
      <x:c r="G25" s="8"/>
      <x:c r="H25" s="9"/>
      <x:c r="I25" s="9"/>
      <x:c r="J25" s="9"/>
    </x:row>
  </x:sheetData>
  <x:pageMargins left="0.7" right="0.7" top="0.75" bottom="0.75" header="0.3" footer="0.3"/>
  <x:tableParts count="1">
    <x:tablePart xmlns:r="http://schemas.openxmlformats.org/officeDocument/2006/relationships" r:id="R2cc25f93ccfa43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2" t="str">
        <x:v>Benchmark cost breakdown · USD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Source totals are rounded independently; component sums may differ. Per-task costs are weighted.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4" customHeight="1">
      <x:c r="A5" s="6" t="str">
        <x:v>Model / effort</x:v>
      </x:c>
      <x:c r="B5" s="6" t="str">
        <x:v>Total cost / task</x:v>
      </x:c>
      <x:c r="C5" s="6" t="str">
        <x:v>Answer / task</x:v>
      </x:c>
      <x:c r="D5" s="6" t="str">
        <x:v>Reasoning / task</x:v>
      </x:c>
      <x:c r="E5" s="6" t="str">
        <x:v>Cache write / task</x:v>
      </x:c>
      <x:c r="F5" s="6" t="str">
        <x:v>Cache hit / task</x:v>
      </x:c>
      <x:c r="G5" s="6" t="str">
        <x:v>Input / task</x:v>
      </x:c>
      <x:c r="H5" s="6" t="str">
        <x:v>Total run cost</x:v>
      </x:c>
      <x:c r="I5" s="6" t="str">
        <x:v>Total answer cost</x:v>
      </x:c>
      <x:c r="J5" s="6" t="str">
        <x:v>Total reasoning cost</x:v>
      </x:c>
      <x:c r="K5" s="6" t="str">
        <x:v>Total cache write</x:v>
      </x:c>
      <x:c r="L5" s="6" t="str">
        <x:v>Total cache read</x:v>
      </x:c>
      <x:c r="M5" s="6" t="str">
        <x:v>Total input cost</x:v>
      </x:c>
    </x:row>
    <x:row r="6" ht="24" customHeight="1">
      <x:c r="A6" s="1" t="str">
        <x:v>GPT-5.6 Luna (xhigh)</x:v>
      </x:c>
      <x:c r="B6" s="10" t="n">
        <x:v>0.09</x:v>
      </x:c>
      <x:c r="C6" s="10" t="n">
        <x:v>0.01</x:v>
      </x:c>
      <x:c r="D6" s="10" t="n">
        <x:v>0.02</x:v>
      </x:c>
      <x:c r="E6" s="10" t="n">
        <x:v>0.01</x:v>
      </x:c>
      <x:c r="F6" s="10" t="n">
        <x:v>0.04</x:v>
      </x:c>
      <x:c r="G6" s="11" t="n">
        <x:v>0.0042</x:v>
      </x:c>
      <x:c r="H6" s="12" t="n">
        <x:v>179</x:v>
      </x:c>
      <x:c r="I6" s="12" t="n">
        <x:v>18</x:v>
      </x:c>
      <x:c r="J6" s="12" t="n">
        <x:v>85</x:v>
      </x:c>
      <x:c r="K6" s="12" t="n">
        <x:v>26</x:v>
      </x:c>
      <x:c r="L6" s="12" t="n">
        <x:v>46</x:v>
      </x:c>
      <x:c r="M6" s="12" t="n">
        <x:v>5</x:v>
      </x:c>
    </x:row>
    <x:row r="7" ht="24" customHeight="1">
      <x:c r="A7" s="1" t="str">
        <x:v>GPT-5.6 Luna (max)</x:v>
      </x:c>
      <x:c r="B7" s="10" t="n">
        <x:v>0.18</x:v>
      </x:c>
      <x:c r="C7" s="10" t="n">
        <x:v>0.02</x:v>
      </x:c>
      <x:c r="D7" s="10" t="n">
        <x:v>0.03</x:v>
      </x:c>
      <x:c r="E7" s="10" t="n">
        <x:v>0.03</x:v>
      </x:c>
      <x:c r="F7" s="10" t="n">
        <x:v>0.1</x:v>
      </x:c>
      <x:c r="G7" s="11" t="n">
        <x:v>0.0046</x:v>
      </x:c>
      <x:c r="H7" s="12" t="n">
        <x:v>320</x:v>
      </x:c>
      <x:c r="I7" s="12" t="n">
        <x:v>22</x:v>
      </x:c>
      <x:c r="J7" s="12" t="n">
        <x:v>162</x:v>
      </x:c>
      <x:c r="K7" s="12" t="n">
        <x:v>36</x:v>
      </x:c>
      <x:c r="L7" s="12" t="n">
        <x:v>94</x:v>
      </x:c>
      <x:c r="M7" s="12" t="n">
        <x:v>6</x:v>
      </x:c>
    </x:row>
    <x:row r="8" ht="24" customHeight="1">
      <x:c r="A8" s="1" t="str">
        <x:v>GPT-5.6 Sol (low)</x:v>
      </x:c>
      <x:c r="B8" s="10" t="n">
        <x:v>0.26</x:v>
      </x:c>
      <x:c r="C8" s="10" t="n">
        <x:v>0.06</x:v>
      </x:c>
      <x:c r="D8" s="10" t="n">
        <x:v>0.02</x:v>
      </x:c>
      <x:c r="E8" s="10" t="n">
        <x:v>0.06</x:v>
      </x:c>
      <x:c r="F8" s="10" t="n">
        <x:v>0.04</x:v>
      </x:c>
      <x:c r="G8" s="11" t="n">
        <x:v>0.08</x:v>
      </x:c>
      <x:c r="H8" s="12" t="n">
        <x:v>637</x:v>
      </x:c>
      <x:c r="I8" s="12" t="n">
        <x:v>157</x:v>
      </x:c>
      <x:c r="J8" s="12" t="n">
        <x:v>96</x:v>
      </x:c>
      <x:c r="K8" s="12" t="n">
        <x:v>165</x:v>
      </x:c>
      <x:c r="L8" s="12" t="n">
        <x:v>112</x:v>
      </x:c>
      <x:c r="M8" s="12" t="n">
        <x:v>107</x:v>
      </x:c>
    </x:row>
    <x:row r="9" ht="24" customHeight="1">
      <x:c r="A9" s="1" t="str">
        <x:v>GPT-5.6 Terra (high)</x:v>
      </x:c>
      <x:c r="B9" s="10" t="n">
        <x:v>0.34</x:v>
      </x:c>
      <x:c r="C9" s="10" t="n">
        <x:v>0.07</x:v>
      </x:c>
      <x:c r="D9" s="10" t="n">
        <x:v>0.07</x:v>
      </x:c>
      <x:c r="E9" s="10" t="n">
        <x:v>0.07</x:v>
      </x:c>
      <x:c r="F9" s="10" t="n">
        <x:v>0.09</x:v>
      </x:c>
      <x:c r="G9" s="11" t="n">
        <x:v>0.04</x:v>
      </x:c>
      <x:c r="H9" s="12" t="n">
        <x:v>768</x:v>
      </x:c>
      <x:c r="I9" s="12" t="n">
        <x:v>133</x:v>
      </x:c>
      <x:c r="J9" s="12" t="n">
        <x:v>265</x:v>
      </x:c>
      <x:c r="K9" s="12" t="n">
        <x:v>159</x:v>
      </x:c>
      <x:c r="L9" s="12" t="n">
        <x:v>156</x:v>
      </x:c>
      <x:c r="M9" s="12" t="n">
        <x:v>54</x:v>
      </x:c>
    </x:row>
    <x:row r="10" ht="24" customHeight="1">
      <x:c r="A10" s="1" t="str">
        <x:v>GPT-5.6 Sol (medium)</x:v>
      </x:c>
      <x:c r="B10" s="10" t="n">
        <x:v>0.5</x:v>
      </x:c>
      <x:c r="C10" s="10" t="n">
        <x:v>0.1</x:v>
      </x:c>
      <x:c r="D10" s="10" t="n">
        <x:v>0.05</x:v>
      </x:c>
      <x:c r="E10" s="10" t="n">
        <x:v>0.12</x:v>
      </x:c>
      <x:c r="F10" s="10" t="n">
        <x:v>0.15</x:v>
      </x:c>
      <x:c r="G10" s="11" t="n">
        <x:v>0.08</x:v>
      </x:c>
      <x:c r="H10" s="12" t="n">
        <x:v>997</x:v>
      </x:c>
      <x:c r="I10" s="12" t="n">
        <x:v>213</x:v>
      </x:c>
      <x:c r="J10" s="12" t="n">
        <x:v>212</x:v>
      </x:c>
      <x:c r="K10" s="12" t="n">
        <x:v>241</x:v>
      </x:c>
      <x:c r="L10" s="12" t="n">
        <x:v>223</x:v>
      </x:c>
      <x:c r="M10" s="12" t="n">
        <x:v>107</x:v>
      </x:c>
    </x:row>
    <x:row r="11" ht="24" customHeight="1">
      <x:c r="A11" s="1" t="str">
        <x:v>GPT-5.6 Terra (xhigh)</x:v>
      </x:c>
      <x:c r="B11" s="10" t="n">
        <x:v>0.63</x:v>
      </x:c>
      <x:c r="C11" s="10" t="n">
        <x:v>0.11</x:v>
      </x:c>
      <x:c r="D11" s="10" t="n">
        <x:v>0.14</x:v>
      </x:c>
      <x:c r="E11" s="10" t="n">
        <x:v>0.13</x:v>
      </x:c>
      <x:c r="F11" s="10" t="n">
        <x:v>0.22</x:v>
      </x:c>
      <x:c r="G11" s="11" t="n">
        <x:v>0.04</x:v>
      </x:c>
      <x:c r="H11" s="12" t="n">
        <x:v>1187</x:v>
      </x:c>
      <x:c r="I11" s="12" t="n">
        <x:v>169</x:v>
      </x:c>
      <x:c r="J11" s="12" t="n">
        <x:v>455</x:v>
      </x:c>
      <x:c r="K11" s="12" t="n">
        <x:v>226</x:v>
      </x:c>
      <x:c r="L11" s="12" t="n">
        <x:v>283</x:v>
      </x:c>
      <x:c r="M11" s="12" t="n">
        <x:v>54</x:v>
      </x:c>
    </x:row>
    <x:row r="12" ht="24" customHeight="1">
      <x:c r="A12" s="1" t="str">
        <x:v>GPT-5.6 Sol (high)</x:v>
      </x:c>
      <x:c r="B12" s="10" t="n">
        <x:v>0.81</x:v>
      </x:c>
      <x:c r="C12" s="10" t="n">
        <x:v>0.15</x:v>
      </x:c>
      <x:c r="D12" s="10" t="n">
        <x:v>0.12</x:v>
      </x:c>
      <x:c r="E12" s="10" t="n">
        <x:v>0.18</x:v>
      </x:c>
      <x:c r="F12" s="10" t="n">
        <x:v>0.28</x:v>
      </x:c>
      <x:c r="G12" s="11" t="n">
        <x:v>0.08</x:v>
      </x:c>
      <x:c r="H12" s="12" t="n">
        <x:v>1487</x:v>
      </x:c>
      <x:c r="I12" s="12" t="n">
        <x:v>259</x:v>
      </x:c>
      <x:c r="J12" s="12" t="n">
        <x:v>415</x:v>
      </x:c>
      <x:c r="K12" s="12" t="n">
        <x:v>329</x:v>
      </x:c>
      <x:c r="L12" s="12" t="n">
        <x:v>377</x:v>
      </x:c>
      <x:c r="M12" s="12" t="n">
        <x:v>108</x:v>
      </x:c>
    </x:row>
    <x:row r="13" ht="24" customHeight="1">
      <x:c r="A13" s="1" t="str">
        <x:v>GPT-6 Astra (low)</x:v>
      </x:c>
      <x:c r="B13" s="10" t="n">
        <x:v>0.82</x:v>
      </x:c>
      <x:c r="C13" s="10" t="n">
        <x:v>0.17</x:v>
      </x:c>
      <x:c r="D13" s="10" t="n">
        <x:v>0.05</x:v>
      </x:c>
      <x:c r="E13" s="10" t="n">
        <x:v>0.19</x:v>
      </x:c>
      <x:c r="F13" s="10" t="n">
        <x:v>0.19</x:v>
      </x:c>
      <x:c r="G13" s="11" t="n">
        <x:v>0.22</x:v>
      </x:c>
      <x:c r="H13" s="12" t="n">
        <x:v>1537</x:v>
      </x:c>
      <x:c r="I13" s="12" t="n">
        <x:v>380</x:v>
      </x:c>
      <x:c r="J13" s="12" t="n">
        <x:v>120</x:v>
      </x:c>
      <x:c r="K13" s="12" t="n">
        <x:v>406</x:v>
      </x:c>
      <x:c r="L13" s="12" t="n">
        <x:v>350</x:v>
      </x:c>
      <x:c r="M13" s="12" t="n">
        <x:v>281</x:v>
      </x:c>
    </x:row>
    <x:row r="14" ht="24" customHeight="1">
      <x:c r="A14" s="1" t="str">
        <x:v>GPT-5.6 Sol (xhigh)</x:v>
      </x:c>
      <x:c r="B14" s="10" t="n">
        <x:v>1.18</x:v>
      </x:c>
      <x:c r="C14" s="10" t="n">
        <x:v>0.19</x:v>
      </x:c>
      <x:c r="D14" s="10" t="n">
        <x:v>0.2</x:v>
      </x:c>
      <x:c r="E14" s="10" t="n">
        <x:v>0.26</x:v>
      </x:c>
      <x:c r="F14" s="10" t="n">
        <x:v>0.45</x:v>
      </x:c>
      <x:c r="G14" s="11" t="n">
        <x:v>0.08</x:v>
      </x:c>
      <x:c r="H14" s="12" t="n">
        <x:v>2082</x:v>
      </x:c>
      <x:c r="I14" s="12" t="n">
        <x:v>301</x:v>
      </x:c>
      <x:c r="J14" s="12" t="n">
        <x:v>719</x:v>
      </x:c>
      <x:c r="K14" s="12" t="n">
        <x:v>408</x:v>
      </x:c>
      <x:c r="L14" s="12" t="n">
        <x:v>545</x:v>
      </x:c>
      <x:c r="M14" s="12" t="n">
        <x:v>109</x:v>
      </x:c>
    </x:row>
    <x:row r="15" ht="24" customHeight="1">
      <x:c r="A15" s="1" t="str">
        <x:v>GPT-5.6 Terra (max)</x:v>
      </x:c>
      <x:c r="B15" s="10" t="n">
        <x:v>1.4</x:v>
      </x:c>
      <x:c r="C15" s="10" t="n">
        <x:v>0.15</x:v>
      </x:c>
      <x:c r="D15" s="10" t="n">
        <x:v>0.31</x:v>
      </x:c>
      <x:c r="E15" s="10" t="n">
        <x:v>0.23</x:v>
      </x:c>
      <x:c r="F15" s="10" t="n">
        <x:v>0.66</x:v>
      </x:c>
      <x:c r="G15" s="11" t="n">
        <x:v>0.05</x:v>
      </x:c>
      <x:c r="H15" s="12" t="n">
        <x:v>2501</x:v>
      </x:c>
      <x:c r="I15" s="12" t="n">
        <x:v>211</x:v>
      </x:c>
      <x:c r="J15" s="12" t="n">
        <x:v>1251</x:v>
      </x:c>
      <x:c r="K15" s="12" t="n">
        <x:v>332</x:v>
      </x:c>
      <x:c r="L15" s="12" t="n">
        <x:v>648</x:v>
      </x:c>
      <x:c r="M15" s="12" t="n">
        <x:v>58</x:v>
      </x:c>
    </x:row>
    <x:row r="16" ht="24" customHeight="1">
      <x:c r="A16" s="1" t="str">
        <x:v>GPT-6 Astra (medium)</x:v>
      </x:c>
      <x:c r="B16" s="10" t="n">
        <x:v>1.54</x:v>
      </x:c>
      <x:c r="C16" s="10" t="n">
        <x:v>0.31</x:v>
      </x:c>
      <x:c r="D16" s="10" t="n">
        <x:v>0.17</x:v>
      </x:c>
      <x:c r="E16" s="10" t="n">
        <x:v>0.36</x:v>
      </x:c>
      <x:c r="F16" s="10" t="n">
        <x:v>0.48</x:v>
      </x:c>
      <x:c r="G16" s="11" t="n">
        <x:v>0.22</x:v>
      </x:c>
      <x:c r="H16" s="12" t="n">
        <x:v>2434</x:v>
      </x:c>
      <x:c r="I16" s="12" t="n">
        <x:v>540</x:v>
      </x:c>
      <x:c r="J16" s="12" t="n">
        <x:v>405</x:v>
      </x:c>
      <x:c r="K16" s="12" t="n">
        <x:v>593</x:v>
      </x:c>
      <x:c r="L16" s="12" t="n">
        <x:v>614</x:v>
      </x:c>
      <x:c r="M16" s="12" t="n">
        <x:v>281</x:v>
      </x:c>
    </x:row>
    <x:row r="17" ht="24" customHeight="1">
      <x:c r="A17" s="1" t="str">
        <x:v>GPT-6 Astra (high)</x:v>
      </x:c>
      <x:c r="B17" s="10" t="n">
        <x:v>1.72</x:v>
      </x:c>
      <x:c r="C17" s="10" t="n">
        <x:v>0.35</x:v>
      </x:c>
      <x:c r="D17" s="10" t="n">
        <x:v>0.24</x:v>
      </x:c>
      <x:c r="E17" s="10" t="n">
        <x:v>0.41</x:v>
      </x:c>
      <x:c r="F17" s="10" t="n">
        <x:v>0.5</x:v>
      </x:c>
      <x:c r="G17" s="11" t="n">
        <x:v>0.22</x:v>
      </x:c>
      <x:c r="H17" s="12" t="n">
        <x:v>2917</x:v>
      </x:c>
      <x:c r="I17" s="12" t="n">
        <x:v>608</x:v>
      </x:c>
      <x:c r="J17" s="12" t="n">
        <x:v>701</x:v>
      </x:c>
      <x:c r="K17" s="12" t="n">
        <x:v>670</x:v>
      </x:c>
      <x:c r="L17" s="12" t="n">
        <x:v>656</x:v>
      </x:c>
      <x:c r="M17" s="12" t="n">
        <x:v>281</x:v>
      </x:c>
    </x:row>
    <x:row r="18" ht="24" customHeight="1">
      <x:c r="A18" s="1" t="str">
        <x:v>GPT-5.6 Sol (max)</x:v>
      </x:c>
      <x:c r="B18" s="10" t="n">
        <x:v>1.99</x:v>
      </x:c>
      <x:c r="C18" s="10" t="n">
        <x:v>0.24</x:v>
      </x:c>
      <x:c r="D18" s="10" t="n">
        <x:v>0.35</x:v>
      </x:c>
      <x:c r="E18" s="10" t="n">
        <x:v>0.33</x:v>
      </x:c>
      <x:c r="F18" s="10" t="n">
        <x:v>0.99</x:v>
      </x:c>
      <x:c r="G18" s="11" t="n">
        <x:v>0.09</x:v>
      </x:c>
      <x:c r="H18" s="12" t="n">
        <x:v>3465</x:v>
      </x:c>
      <x:c r="I18" s="12" t="n">
        <x:v>348</x:v>
      </x:c>
      <x:c r="J18" s="12" t="n">
        <x:v>1452</x:v>
      </x:c>
      <x:c r="K18" s="12" t="n">
        <x:v>513</x:v>
      </x:c>
      <x:c r="L18" s="12" t="n">
        <x:v>1039</x:v>
      </x:c>
      <x:c r="M18" s="12" t="n">
        <x:v>113</x:v>
      </x:c>
    </x:row>
    <x:row r="19" ht="24" customHeight="1">
      <x:c r="A19" s="1" t="str">
        <x:v>GPT-6 Astra (xhigh)</x:v>
      </x:c>
      <x:c r="B19" s="10" t="n">
        <x:v>2.31</x:v>
      </x:c>
      <x:c r="C19" s="10" t="n">
        <x:v>0.42</x:v>
      </x:c>
      <x:c r="D19" s="10" t="n">
        <x:v>0.43</x:v>
      </x:c>
      <x:c r="E19" s="10" t="n">
        <x:v>0.52</x:v>
      </x:c>
      <x:c r="F19" s="10" t="n">
        <x:v>0.72</x:v>
      </x:c>
      <x:c r="G19" s="11" t="n">
        <x:v>0.22</x:v>
      </x:c>
      <x:c r="H19" s="12" t="n">
        <x:v>3803</x:v>
      </x:c>
      <x:c r="I19" s="12" t="n">
        <x:v>670</x:v>
      </x:c>
      <x:c r="J19" s="12" t="n">
        <x:v>1225</x:v>
      </x:c>
      <x:c r="K19" s="12" t="n">
        <x:v>783</x:v>
      </x:c>
      <x:c r="L19" s="12" t="n">
        <x:v>844</x:v>
      </x:c>
      <x:c r="M19" s="12" t="n">
        <x:v>281</x:v>
      </x:c>
    </x:row>
    <x:row r="20" ht="24" customHeight="1">
      <x:c r="A20" s="1" t="str">
        <x:v>GPT-6 Astra (max)</x:v>
      </x:c>
      <x:c r="B20" s="10" t="n">
        <x:v>3.26</x:v>
      </x:c>
      <x:c r="C20" s="10" t="n">
        <x:v>0.53</x:v>
      </x:c>
      <x:c r="D20" s="10" t="n">
        <x:v>0.83</x:v>
      </x:c>
      <x:c r="E20" s="10" t="n">
        <x:v>0.7</x:v>
      </x:c>
      <x:c r="F20" s="10" t="n">
        <x:v>0.98</x:v>
      </x:c>
      <x:c r="G20" s="11" t="n">
        <x:v>0.22</x:v>
      </x:c>
      <x:c r="H20" s="12" t="n">
        <x:v>5324</x:v>
      </x:c>
      <x:c r="I20" s="12" t="n">
        <x:v>778</x:v>
      </x:c>
      <x:c r="J20" s="12" t="n">
        <x:v>2222</x:v>
      </x:c>
      <x:c r="K20" s="12" t="n">
        <x:v>978</x:v>
      </x:c>
      <x:c r="L20" s="12" t="n">
        <x:v>1066</x:v>
      </x:c>
      <x:c r="M20" s="12" t="n">
        <x:v>279</x:v>
      </x:c>
    </x:row>
    <x:row r="21" ht="24" customHeight="1">
      <x:c r="A21" s="1" t="str">
        <x:v>GPT-5.6 Luna (high)</x:v>
      </x:c>
      <x:c r="B21" s="10"/>
      <x:c r="C21" s="10"/>
      <x:c r="D21" s="10"/>
      <x:c r="E21" s="10"/>
      <x:c r="F21" s="10"/>
      <x:c r="G21" s="11"/>
      <x:c r="H21" s="12"/>
      <x:c r="I21" s="12"/>
      <x:c r="J21" s="12"/>
      <x:c r="K21" s="12"/>
      <x:c r="L21" s="12"/>
      <x:c r="M21" s="12"/>
    </x:row>
    <x:row r="22" ht="24" customHeight="1">
      <x:c r="A22" s="1" t="str">
        <x:v>GPT-5.6 Terra (medium)</x:v>
      </x:c>
      <x:c r="B22" s="10"/>
      <x:c r="C22" s="10"/>
      <x:c r="D22" s="10"/>
      <x:c r="E22" s="10"/>
      <x:c r="F22" s="10"/>
      <x:c r="G22" s="11"/>
      <x:c r="H22" s="12"/>
      <x:c r="I22" s="12"/>
      <x:c r="J22" s="12"/>
      <x:c r="K22" s="12"/>
      <x:c r="L22" s="12"/>
      <x:c r="M22" s="12"/>
    </x:row>
    <x:row r="23" ht="24" customHeight="1">
      <x:c r="A23" s="1" t="str">
        <x:v>GPT-5.6 Terra (low)</x:v>
      </x:c>
      <x:c r="B23" s="10"/>
      <x:c r="C23" s="10"/>
      <x:c r="D23" s="10"/>
      <x:c r="E23" s="10"/>
      <x:c r="F23" s="10"/>
      <x:c r="G23" s="11"/>
      <x:c r="H23" s="12"/>
      <x:c r="I23" s="12"/>
      <x:c r="J23" s="12"/>
      <x:c r="K23" s="12"/>
      <x:c r="L23" s="12"/>
      <x:c r="M23" s="12"/>
    </x:row>
    <x:row r="24" ht="24" customHeight="1">
      <x:c r="A24" s="1" t="str">
        <x:v>GPT-5.6 Luna (medium)</x:v>
      </x:c>
      <x:c r="B24" s="10"/>
      <x:c r="C24" s="10"/>
      <x:c r="D24" s="10"/>
      <x:c r="E24" s="10"/>
      <x:c r="F24" s="10"/>
      <x:c r="G24" s="11"/>
      <x:c r="H24" s="12"/>
      <x:c r="I24" s="12"/>
      <x:c r="J24" s="12"/>
      <x:c r="K24" s="12"/>
      <x:c r="L24" s="12"/>
      <x:c r="M24" s="12"/>
    </x:row>
    <x:row r="25" ht="24" customHeight="1">
      <x:c r="A25" s="1" t="str">
        <x:v>GPT-5.6 Luna (low)</x:v>
      </x:c>
      <x:c r="B25" s="10"/>
      <x:c r="C25" s="10"/>
      <x:c r="D25" s="10"/>
      <x:c r="E25" s="10"/>
      <x:c r="F25" s="10"/>
      <x:c r="G25" s="11"/>
      <x:c r="H25" s="12"/>
      <x:c r="I25" s="12"/>
      <x:c r="J25" s="12"/>
      <x:c r="K25" s="12"/>
      <x:c r="L25" s="12"/>
      <x:c r="M25" s="12"/>
    </x:row>
  </x:sheetData>
  <x:pageMargins left="0.7" right="0.7" top="0.75" bottom="0.75" header="0.3" footer="0.3"/>
  <x:tableParts count="1">
    <x:tablePart xmlns:r="http://schemas.openxmlformats.org/officeDocument/2006/relationships" r:id="R47dd0df90c90417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0" customHeight="1">
      <x:c r="A1" s="2" t="str">
        <x:v>API token prices · USD per million tokens</x:v>
      </x:c>
      <x:c r="B1" s="1"/>
      <x:c r="C1" s="1"/>
      <x:c r="D1" s="1"/>
    </x:row>
    <x:row r="2">
      <x:c r="A2" s="3" t="str">
        <x:v>Prices from the AA pricing chart • same listed rates across selected effort levels • not Codex allowance rates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44" customHeight="1">
      <x:c r="A5" s="6" t="str">
        <x:v>Model family</x:v>
      </x:c>
      <x:c r="B5" s="6" t="str">
        <x:v>Input / 1M</x:v>
      </x:c>
      <x:c r="C5" s="6" t="str">
        <x:v>Cached input / 1M</x:v>
      </x:c>
      <x:c r="D5" s="6" t="str">
        <x:v>Output / 1M</x:v>
      </x:c>
    </x:row>
    <x:row r="6" ht="24" customHeight="1">
      <x:c r="A6" s="1" t="str">
        <x:v>GPT-5.6 Luna</x:v>
      </x:c>
      <x:c r="B6" s="10" t="n">
        <x:v>0.2</x:v>
      </x:c>
      <x:c r="C6" s="10" t="n">
        <x:v>0.02</x:v>
      </x:c>
      <x:c r="D6" s="10" t="n">
        <x:v>1.2</x:v>
      </x:c>
    </x:row>
    <x:row r="7" ht="24" customHeight="1">
      <x:c r="A7" s="1" t="str">
        <x:v>GPT-5.6 Terra</x:v>
      </x:c>
      <x:c r="B7" s="10" t="n">
        <x:v>2</x:v>
      </x:c>
      <x:c r="C7" s="10" t="n">
        <x:v>0.2</x:v>
      </x:c>
      <x:c r="D7" s="10" t="n">
        <x:v>12</x:v>
      </x:c>
    </x:row>
    <x:row r="8" ht="24" customHeight="1">
      <x:c r="A8" s="1" t="str">
        <x:v>GPT-5.6 Sol</x:v>
      </x:c>
      <x:c r="B8" s="10" t="n">
        <x:v>4</x:v>
      </x:c>
      <x:c r="C8" s="10" t="n">
        <x:v>0.4</x:v>
      </x:c>
      <x:c r="D8" s="10" t="n">
        <x:v>20</x:v>
      </x:c>
    </x:row>
    <x:row r="9" ht="24" customHeight="1">
      <x:c r="A9" s="1" t="str">
        <x:v>GPT-6 Astra</x:v>
      </x:c>
      <x:c r="B9" s="10" t="n">
        <x:v>10</x:v>
      </x:c>
      <x:c r="C9" s="10" t="n">
        <x:v>1</x:v>
      </x:c>
      <x:c r="D9" s="10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2ea2a4b2a0644f9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15" hidden="0" customWidth="1"/>
  </x:cols>
  <x:sheetData>
    <x:row r="1" ht="30" customHeight="1">
      <x:c r="A1" s="2" t="str">
        <x:v>Sources &amp; methodology</x:v>
      </x:c>
      <x:c r="B1" s="1"/>
    </x:row>
    <x:row r="2">
      <x:c r="A2" s="3" t="str">
        <x:v>Read before interpreting efficiency rankings</x:v>
      </x:c>
      <x:c r="B2" s="1"/>
    </x:row>
    <x:row r="3">
      <x:c r="A3" s="1"/>
      <x:c r="B3" s="1"/>
    </x:row>
    <x:row r="4">
      <x:c r="A4" s="1"/>
      <x:c r="B4" s="1"/>
    </x:row>
    <x:row r="5" ht="44" customHeight="1">
      <x:c r="A5" s="6" t="str">
        <x:v>Topic</x:v>
      </x:c>
      <x:c r="B5" s="6" t="str">
        <x:v>Definition / source</x:v>
      </x:c>
    </x:row>
    <x:row r="6" ht="48" customHeight="1">
      <x:c r="A6" s="1" t="str">
        <x:v>Scope</x:v>
      </x:c>
      <x:c r="B6" s="21" t="str">
        <x:v>20 selected model/effort configurations; 15 have token/cost results. Five Intelligence Index scores are marked estimates by AA.</x:v>
      </x:c>
    </x:row>
    <x:row r="7" ht="48" customHeight="1">
      <x:c r="A7" s="1" t="str">
        <x:v>Capture</x:v>
      </x:c>
      <x:c r="B7" s="21" t="str">
        <x:v>2026-09-08. Values transcribed from publicly visible chart labels and keyboard-accessible tooltips.</x:v>
      </x:c>
    </x:row>
    <x:row r="8" ht="48" customHeight="1">
      <x:c r="A8" s="1" t="str">
        <x:v>Sorting</x:v>
      </x:c>
      <x:c r="B8" s="21" t="str">
        <x:v>Comparison, Token detail and Cost detail share cost/task ascending order, with missing results last. Excel table filters allow alternate sorting.</x:v>
      </x:c>
    </x:row>
    <x:row r="9" ht="48" customHeight="1">
      <x:c r="A9" s="1" t="str">
        <x:v>Intelligence</x:v>
      </x:c>
      <x:c r="B9" s="21" t="str">
        <x:v>Artificial Analysis Intelligence Index v4.3, displayed whole-number scores. “Evaluated” means not marked as estimated in the chart.</x:v>
      </x:c>
    </x:row>
    <x:row r="10" ht="48" customHeight="1">
      <x:c r="A10" s="1" t="str">
        <x:v>Efficiency formulas</x:v>
      </x:c>
      <x:c r="B10" s="21" t="str">
        <x:v>Points / $ = Intelligence Index / weighted USD per task. Points / 1k tokens = Intelligence Index × 1,000 / weighted output tokens per task. Higher is better.</x:v>
      </x:c>
    </x:row>
    <x:row r="11" ht="48" customHeight="1">
      <x:c r="A11" s="1" t="str">
        <x:v>Interpretation</x:v>
      </x:c>
      <x:c r="B11" s="21" t="str">
        <x:v>These ratios are descriptive benchmark proxies. Index points are not cardinal units of useful work; they do not measure coding success, reliability or cost per successful task.</x:v>
      </x:c>
    </x:row>
    <x:row r="12" ht="48" customHeight="1">
      <x:c r="A12" s="1" t="str">
        <x:v>Rank rules</x:v>
      </x:c>
      <x:c r="B12" s="21" t="str">
        <x:v>Ranks are descending ratio, with ties sharing rank. Estimated scores / missing token or cost results are excluded. Ranks recalculate; physical row order does not.</x:v>
      </x:c>
    </x:row>
    <x:row r="13" ht="48" customHeight="1">
      <x:c r="A13" s="1" t="str">
        <x:v>Token definition</x:v>
      </x:c>
      <x:c r="B13" s="21" t="str">
        <x:v>Output tokens include answer and reasoning tokens, not input tokens. Selected charts do not provide total input-token counts.</x:v>
      </x:c>
    </x:row>
    <x:row r="14" ht="48" customHeight="1">
      <x:c r="A14" s="1" t="str">
        <x:v>Weighting</x:v>
      </x:c>
      <x:c r="B14" s="21" t="str">
        <x:v>Per-task values are weighted across Intelligence Index evaluations. Run totals are not weighted per-task averages; do not divide totals to reconstruct weighted averages.</x:v>
      </x:c>
    </x:row>
    <x:row r="15" ht="48" customHeight="1">
      <x:c r="A15" s="1" t="str">
        <x:v>Cost definition</x:v>
      </x:c>
      <x:c r="B15" s="21" t="str">
        <x:v>Benchmark cost includes answer, reasoning, cache write, cache read/hit and noncached input. Pricing sheet shows listed per-million-token rates.</x:v>
      </x:c>
    </x:row>
    <x:row r="16" ht="48" customHeight="1">
      <x:c r="A16" s="1" t="str">
        <x:v>Precision</x:v>
      </x:c>
      <x:c r="B16" s="21" t="str">
        <x:v>Token totals are integer tooltip values; per-task tokens have one decimal; accuracy has two percentage decimals. Cost totals are whole USD; most per-task cost values have two decimals. Small input costs retain four decimals.</x:v>
      </x:c>
    </x:row>
    <x:row r="17" ht="48" customHeight="1">
      <x:c r="A17" s="1" t="str">
        <x:v>Rounding</x:v>
      </x:c>
      <x:c r="B17" s="21" t="str">
        <x:v>Components and totals are rounded independently. Preserve the reported totals instead of forcing sums to match. Calculated ratios inherit this precision limitation.</x:v>
      </x:c>
    </x:row>
    <x:row r="18" ht="48" customHeight="1">
      <x:c r="A18" s="1" t="str">
        <x:v>Missing results</x:v>
      </x:c>
      <x:c r="B18" s="21" t="str">
        <x:v>Luna High, Medium and Low; Terra Medium and Low: estimated intelligence scores, with no cost/token data in the selected charts. Blanks mean unavailable, not zero.</x:v>
      </x:c>
    </x:row>
    <x:row r="19" ht="48" customHeight="1">
      <x:c r="A19" s="1" t="str">
        <x:v>Accuracy</x:v>
      </x:c>
      <x:c r="B19" s="21" t="str">
        <x:v>AA-Omniscience accuracy is the fraction of all questions answered correctly, irrespective of whether the model attempts an answer. It is separate from the multi-benchmark Intelligence Index.</x:v>
      </x:c>
    </x:row>
    <x:row r="20" ht="48" customHeight="1">
      <x:c r="A20" s="1" t="str">
        <x:v>No mixed denominators</x:v>
      </x:c>
      <x:c r="B20" s="21" t="str">
        <x:v>Do not divide Intelligence Index task costs by Omniscience accuracy to infer cost per correct answer: they refer to different evaluation scopes.</x:v>
      </x:c>
    </x:row>
    <x:row r="21" ht="48" customHeight="1">
      <x:c r="A21" s="1" t="str">
        <x:v>Naming</x:v>
      </x:c>
      <x:c r="B21" s="21" t="str">
        <x:v>Unsuffixed model URLs map to max in these charts. Source “GPT-6 Astra (low)” corresponds to the skill’s Astra Light label. Source labels are retained.</x:v>
      </x:c>
    </x:row>
    <x:row r="22" ht="48" customHeight="1">
      <x:c r="A22" s="1" t="str">
        <x:v>Codex caveat</x:v>
      </x:c>
      <x:c r="B22" s="21" t="str">
        <x:v>API dollars and raw token counts do not establish Codex subscription allowance consumption. Parent re-entry, caching, context size and retries require separate rollout telemetry.</x:v>
      </x:c>
    </x:row>
    <x:row r="23" ht="48" customHeight="1">
      <x:c r="A23" s="1" t="str">
        <x:v>Routing caveat</x:v>
      </x:c>
      <x:c r="B23" s="21" t="str">
        <x:v>Benchmark comparisons alone do not justify changing the Agent Deployment policy. Test bounded tasks, review outcomes and total orchestration cost before making routing changes.</x:v>
      </x:c>
    </x:row>
    <x:row r="24" ht="85" customHeight="1">
      <x:c r="A24" s="1" t="str">
        <x:v>Intelligence source</x:v>
      </x:c>
      <x:c r="B24" s="21" t="str">
        <x:v>https://artificialanalysis.ai/models?models=gpt-6-astra%2Cgpt-6-astra-xhigh%2Cgpt-6-astra-high%2Cgpt-6-astra-medium%2Cgpt-6-astra-low%2Cgpt-5-6-sol%2Cgpt-5-6-sol-xhigh%2Cgpt-5-6-sol-high%2Cgpt-5-6-sol-medium%2Cgpt-5-6-sol-low%2Cgpt-5-6-terra%2Cgpt-5-6-terra-xhigh%2Cgpt-5-6-terra-high%2Cgpt-5-6-terra-medium%2Cgpt-5-6-terra-low%2Cgpt-5-6-luna%2Cgpt-5-6-luna-xhigh%2Cgpt-5-6-luna-high%2Cgpt-5-6-luna-medium%2Cgpt-5-6-luna-low#artificial-analysis-intelligence-index</x:v>
      </x:c>
    </x:row>
    <x:row r="25" ht="85" customHeight="1">
      <x:c r="A25" s="1" t="str">
        <x:v>Token-use source</x:v>
      </x:c>
      <x:c r="B25" s="21" t="str">
        <x:v>https://artificialanalysis.ai/models?models=gpt-6-astra%2Cgpt-6-astra-xhigh%2Cgpt-6-astra-high%2Cgpt-6-astra-medium%2Cgpt-6-astra-low%2Cgpt-5-6-sol%2Cgpt-5-6-sol-xhigh%2Cgpt-5-6-sol-high%2Cgpt-5-6-sol-medium%2Cgpt-5-6-sol-low%2Cgpt-5-6-terra%2Cgpt-5-6-terra-xhigh%2Cgpt-5-6-terra-high%2Cgpt-5-6-terra-medium%2Cgpt-5-6-terra-low%2Cgpt-5-6-luna%2Cgpt-5-6-luna-xhigh%2Cgpt-5-6-luna-high%2Cgpt-5-6-luna-medium%2Cgpt-5-6-luna-low&amp;intelligence-index-token-use=intelligence-vs-output-tokens-per-task#intelligence-index-token-use-tabs</x:v>
      </x:c>
    </x:row>
    <x:row r="26" ht="85" customHeight="1">
      <x:c r="A26" s="1" t="str">
        <x:v>Total-cost source</x:v>
      </x:c>
      <x:c r="B26" s="21" t="str">
        <x:v>https://artificialanalysis.ai/models?models=gpt-6-astra%2Cgpt-6-astra-xhigh%2Cgpt-6-astra-high%2Cgpt-6-astra-medium%2Cgpt-6-astra-low%2Cgpt-5-6-sol%2Cgpt-5-6-sol-xhigh%2Cgpt-5-6-sol-high%2Cgpt-5-6-sol-medium%2Cgpt-5-6-sol-low%2Cgpt-5-6-terra%2Cgpt-5-6-terra-xhigh%2Cgpt-5-6-terra-high%2Cgpt-5-6-terra-medium%2Cgpt-5-6-terra-low%2Cgpt-5-6-luna%2Cgpt-5-6-luna-xhigh%2Cgpt-5-6-luna-high%2Cgpt-5-6-luna-medium%2Cgpt-5-6-luna-low#total-cost-tabs</x:v>
      </x:c>
    </x:row>
    <x:row r="27" ht="85" customHeight="1">
      <x:c r="A27" s="1" t="str">
        <x:v>Per-task-cost source</x:v>
      </x:c>
      <x:c r="B27" s="21" t="str">
        <x:v>https://artificialanalysis.ai/models?models=gpt-6-astra%2Cgpt-6-astra-xhigh%2Cgpt-6-astra-high%2Cgpt-6-astra-medium%2Cgpt-6-astra-low%2Cgpt-5-6-sol%2Cgpt-5-6-sol-xhigh%2Cgpt-5-6-sol-high%2Cgpt-5-6-sol-medium%2Cgpt-5-6-sol-low%2Cgpt-5-6-terra%2Cgpt-5-6-terra-xhigh%2Cgpt-5-6-terra-high%2Cgpt-5-6-terra-medium%2Cgpt-5-6-terra-low%2Cgpt-5-6-luna%2Cgpt-5-6-luna-xhigh%2Cgpt-5-6-luna-high%2Cgpt-5-6-luna-medium%2Cgpt-5-6-luna-low#cost-tabs</x:v>
      </x:c>
    </x:row>
    <x:row r="28" ht="85" customHeight="1">
      <x:c r="A28" s="1" t="str">
        <x:v>Accuracy source</x:v>
      </x:c>
      <x:c r="B28" s="21" t="str">
        <x:v>https://artificialanalysis.ai/models?models=gpt-6-astra%2Cgpt-6-astra-xhigh%2Cgpt-6-astra-high%2Cgpt-6-astra-medium%2Cgpt-6-astra-low%2Cgpt-5-6-sol%2Cgpt-5-6-sol-xhigh%2Cgpt-5-6-sol-high%2Cgpt-5-6-sol-medium%2Cgpt-5-6-sol-low%2Cgpt-5-6-terra%2Cgpt-5-6-terra-xhigh%2Cgpt-5-6-terra-high%2Cgpt-5-6-terra-medium%2Cgpt-5-6-terra-low%2Cgpt-5-6-luna%2Cgpt-5-6-luna-xhigh%2Cgpt-5-6-luna-high%2Cgpt-5-6-luna-medium%2Cgpt-5-6-luna-low&amp;omniscience=omniscience-accuracy#omniscience-tabs</x:v>
      </x:c>
    </x:row>
    <x:row r="29" ht="85" customHeight="1">
      <x:c r="A29" s="1" t="str">
        <x:v>Pricing source</x:v>
      </x:c>
      <x:c r="B29" s="21" t="str">
        <x:v>https://artificialanalysis.ai/models?models=gpt-6-astra%2Cgpt-6-astra-xhigh%2Cgpt-6-astra-high%2Cgpt-6-astra-medium%2Cgpt-6-astra-low%2Cgpt-5-6-sol%2Cgpt-5-6-sol-xhigh%2Cgpt-5-6-sol-high%2Cgpt-5-6-sol-medium%2Cgpt-5-6-sol-low%2Cgpt-5-6-terra%2Cgpt-5-6-terra-xhigh%2Cgpt-5-6-terra-high%2Cgpt-5-6-terra-medium%2Cgpt-5-6-terra-low%2Cgpt-5-6-luna%2Cgpt-5-6-luna-xhigh%2Cgpt-5-6-luna-high%2Cgpt-5-6-luna-medium%2Cgpt-5-6-luna-low#pricing-tabs</x:v>
      </x:c>
    </x:row>
  </x:sheetData>
  <x:pageMargins left="0.7" right="0.7" top="0.75" bottom="0.75" header="0.3" footer="0.3"/>
  <x:tableParts count="1">
    <x:tablePart xmlns:r="http://schemas.openxmlformats.org/officeDocument/2006/relationships" r:id="R02c50e98ffd5466f"/>
  </x:tableParts>
</x:worksheet>
</file>